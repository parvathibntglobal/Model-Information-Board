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Keywords" sheetId="2" state="visible" r:id="rId2"/>
    <sheet xmlns:r="http://schemas.openxmlformats.org/officeDocument/2006/relationships" name="Page Map" sheetId="3" state="visible" r:id="rId3"/>
    <sheet xmlns:r="http://schemas.openxmlformats.org/officeDocument/2006/relationships" name="AEO Tracking" sheetId="4" state="visible" r:id="rId4"/>
    <sheet xmlns:r="http://schemas.openxmlformats.org/officeDocument/2006/relationships" name="Competitors" sheetId="5" state="visible" r:id="rId5"/>
    <sheet xmlns:r="http://schemas.openxmlformats.org/officeDocument/2006/relationships" name="Keywords to Avoid" sheetId="6" state="visible" r:id="rId6"/>
  </sheets>
  <definedNames>
    <definedName name="_xlnm._FilterDatabase" localSheetId="1" hidden="1">'Keywords'!$A$1:$U$589</definedName>
    <definedName name="_xlnm._FilterDatabase" localSheetId="2" hidden="1">'Page Map'!$A$1:$I$50</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sz val="10"/>
    </font>
    <font>
      <name val="Arial"/>
      <sz val="10"/>
    </font>
    <font>
      <name val="Arial"/>
      <b val="1"/>
      <color rgb="001F3864"/>
      <sz val="14"/>
    </font>
    <font>
      <name val="Arial"/>
      <b val="1"/>
      <color rgb="001F3864"/>
      <sz val="11"/>
    </font>
    <font>
      <name val="Arial"/>
      <b val="1"/>
      <color rgb="000000FF"/>
      <sz val="10"/>
    </font>
    <font>
      <name val="Arial"/>
      <b val="1"/>
      <color rgb="00FFFFFF"/>
      <sz val="10"/>
    </font>
    <font>
      <name val="Arial"/>
      <color rgb="000000FF"/>
      <sz val="10"/>
    </font>
    <font>
      <name val="Arial"/>
      <b val="1"/>
      <color rgb="007030A0"/>
      <sz val="10"/>
    </font>
  </fonts>
  <fills count="7">
    <fill>
      <patternFill/>
    </fill>
    <fill>
      <patternFill patternType="gray125"/>
    </fill>
    <fill>
      <patternFill patternType="solid">
        <fgColor rgb="00FFF2CC"/>
      </patternFill>
    </fill>
    <fill>
      <patternFill patternType="solid">
        <fgColor rgb="00F2F2F2"/>
      </patternFill>
    </fill>
    <fill>
      <patternFill patternType="solid">
        <fgColor rgb="001F3864"/>
      </patternFill>
    </fill>
    <fill>
      <patternFill patternType="solid">
        <fgColor rgb="00BF8F00"/>
      </patternFill>
    </fill>
    <fill>
      <patternFill patternType="solid">
        <fgColor rgb="0059595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3" fillId="0" borderId="0" pivotButton="0" quotePrefix="0" xfId="0"/>
    <xf numFmtId="0" fontId="1" fillId="0" borderId="0" pivotButton="0" quotePrefix="0" xfId="0"/>
    <xf numFmtId="0" fontId="2" fillId="0" borderId="0" applyAlignment="1" pivotButton="0" quotePrefix="0" xfId="0">
      <alignment vertical="top" wrapText="1"/>
    </xf>
    <xf numFmtId="0" fontId="4" fillId="0" borderId="0" pivotButton="0" quotePrefix="0" xfId="0"/>
    <xf numFmtId="0" fontId="1" fillId="2" borderId="0" pivotButton="0" quotePrefix="0" xfId="0"/>
    <xf numFmtId="0" fontId="1" fillId="3" borderId="0" pivotButton="0" quotePrefix="0" xfId="0"/>
    <xf numFmtId="0" fontId="5" fillId="0" borderId="0"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3" fontId="2" fillId="2" borderId="1" applyAlignment="1" pivotButton="0" quotePrefix="0" xfId="0">
      <alignment vertical="top" wrapText="1"/>
    </xf>
    <xf numFmtId="0" fontId="2" fillId="2" borderId="1" applyAlignment="1" pivotButton="0" quotePrefix="0" xfId="0">
      <alignment vertical="top" wrapText="1"/>
    </xf>
    <xf numFmtId="0" fontId="7" fillId="0" borderId="1" applyAlignment="1" pivotButton="0" quotePrefix="0" xfId="0">
      <alignment horizontal="center" vertical="top"/>
    </xf>
    <xf numFmtId="0" fontId="2" fillId="3" borderId="1" applyAlignment="1" pivotButton="0" quotePrefix="0" xfId="0">
      <alignment horizontal="center" vertical="top"/>
    </xf>
    <xf numFmtId="0" fontId="8" fillId="0" borderId="1" applyAlignment="1" pivotButton="0" quotePrefix="0" xfId="0">
      <alignment horizontal="center" vertical="top"/>
    </xf>
    <xf numFmtId="164" fontId="2" fillId="2" borderId="1" applyAlignment="1" pivotButton="0" quotePrefix="0" xfId="0">
      <alignment vertical="top" wrapText="1"/>
    </xf>
    <xf numFmtId="0" fontId="2" fillId="2" borderId="1" applyAlignment="1" pivotButton="0" quotePrefix="0" xfId="0">
      <alignment horizontal="center" vertical="top"/>
    </xf>
    <xf numFmtId="164" fontId="2" fillId="2" borderId="1" applyAlignment="1" pivotButton="0" quotePrefix="0" xfId="0">
      <alignment horizontal="center" vertical="top"/>
    </xf>
  </cellXfs>
  <cellStyles count="1">
    <cellStyle name="Normal" xfId="0" builtinId="0" hidden="0"/>
  </cellStyles>
  <dxfs count="5">
    <dxf>
      <font>
        <name val="Arial"/>
        <b val="1"/>
        <color rgb="00006100"/>
      </font>
      <fill>
        <patternFill patternType="solid">
          <fgColor rgb="00C6EFCE"/>
        </patternFill>
      </fill>
    </dxf>
    <dxf>
      <font>
        <name val="Arial"/>
        <b val="1"/>
        <color rgb="009C5700"/>
      </font>
      <fill>
        <patternFill patternType="solid">
          <fgColor rgb="00FFEB9C"/>
        </patternFill>
      </fill>
    </dxf>
    <dxf>
      <font>
        <name val="Arial"/>
        <b val="1"/>
        <color rgb="009C0006"/>
      </font>
      <fill>
        <patternFill patternType="solid">
          <fgColor rgb="00FFC7CE"/>
        </patternFill>
      </fill>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95" customWidth="1" min="2" max="2"/>
  </cols>
  <sheetData>
    <row r="1">
      <c r="A1" s="1" t="inlineStr">
        <is>
          <t>Kite Pulse — Keyword Research Sheet</t>
        </is>
      </c>
    </row>
    <row r="2">
      <c r="A2" s="2" t="inlineStr"/>
    </row>
    <row r="3">
      <c r="A3" s="2" t="inlineStr">
        <is>
          <t>What this is</t>
        </is>
      </c>
      <c r="B3" s="3" t="inlineStr">
        <is>
          <t>Starter keyword list generated from 'Kite Pulse — Product Guide.md'. Every row has Source = Product guide.</t>
        </is>
      </c>
    </row>
    <row r="4">
      <c r="A4" s="2" t="inlineStr">
        <is>
          <t>Step 1</t>
        </is>
      </c>
      <c r="B4" s="3" t="inlineStr">
        <is>
          <t>Go to the Keywords tab. Fill in the YELLOW columns: Monthly Volume, Difficulty (KD), Trend (from Keyword Planner / Ahrefs / Semrush / Google Trends).</t>
        </is>
      </c>
    </row>
    <row r="5">
      <c r="A5" s="2" t="inlineStr">
        <is>
          <t>Step 2</t>
        </is>
      </c>
      <c r="B5" s="3" t="inlineStr">
        <is>
          <t>Check the Relevance score (1–3) that is pre-filled. Change it if you disagree.</t>
        </is>
      </c>
    </row>
    <row r="6">
      <c r="A6" s="2" t="inlineStr">
        <is>
          <t>Step 3</t>
        </is>
      </c>
      <c r="B6" s="3" t="inlineStr">
        <is>
          <t>The GREY columns calculate automatically: Intent Score, Difficulty Score, Priority. Do not type in them.</t>
        </is>
      </c>
    </row>
    <row r="7">
      <c r="A7" s="2" t="inlineStr">
        <is>
          <t>Step 4</t>
        </is>
      </c>
      <c r="B7" s="3" t="inlineStr">
        <is>
          <t>Search each Main keyword on Google and ask ChatGPT / Perplexity. Fill Currently Ranking, AI Cites and Content Gap / Angle.</t>
        </is>
      </c>
    </row>
    <row r="8">
      <c r="A8" s="2" t="inlineStr">
        <is>
          <t>Step 5</t>
        </is>
      </c>
      <c r="B8" s="3" t="inlineStr">
        <is>
          <t>Add new keywords you find (Google Autocomplete, People Also Ask, Reddit, competitors) as new rows. Copy the grey formulas down.</t>
        </is>
      </c>
    </row>
    <row r="9">
      <c r="A9" s="2" t="inlineStr">
        <is>
          <t>Step 6</t>
        </is>
      </c>
      <c r="B9" s="3" t="inlineStr">
        <is>
          <t>Use the AEO Tracking tab once a month to record whether AI assistants mention Kite Pulse.</t>
        </is>
      </c>
    </row>
    <row r="10">
      <c r="A10" s="2" t="inlineStr"/>
    </row>
    <row r="11">
      <c r="A11" s="4" t="inlineStr">
        <is>
          <t>Colour key</t>
        </is>
      </c>
    </row>
    <row r="12">
      <c r="A12" s="5" t="inlineStr">
        <is>
          <t>Yellow header / cell</t>
        </is>
      </c>
      <c r="B12" s="3" t="inlineStr">
        <is>
          <t>You fill this in</t>
        </is>
      </c>
    </row>
    <row r="13">
      <c r="A13" s="6" t="inlineStr">
        <is>
          <t>Grey header / cell</t>
        </is>
      </c>
      <c r="B13" s="3" t="inlineStr">
        <is>
          <t>Formula — calculates automatically</t>
        </is>
      </c>
    </row>
    <row r="14">
      <c r="A14" s="7" t="inlineStr">
        <is>
          <t>Blue text</t>
        </is>
      </c>
      <c r="B14" s="3" t="inlineStr">
        <is>
          <t>Pre-filled judgement you can change (e.g. Relevance)</t>
        </is>
      </c>
    </row>
    <row r="15">
      <c r="A15" s="2" t="inlineStr">
        <is>
          <t>Priority colours</t>
        </is>
      </c>
      <c r="B15" s="3" t="inlineStr">
        <is>
          <t>Green = 8–9 (do first) · Amber = 6–7 (do next) · Red = 5 or below (later / drop)</t>
        </is>
      </c>
    </row>
    <row r="16">
      <c r="A16" s="2" t="inlineStr"/>
    </row>
    <row r="17">
      <c r="A17" s="4" t="inlineStr">
        <is>
          <t>Scoring rules</t>
        </is>
      </c>
    </row>
    <row r="18">
      <c r="A18" s="2" t="inlineStr">
        <is>
          <t>Relevance (1–3)</t>
        </is>
      </c>
      <c r="B18" s="3" t="inlineStr">
        <is>
          <t>3 = Kite Pulse solves it directly · 2 = partly · 1 = loosely related</t>
        </is>
      </c>
    </row>
    <row r="19">
      <c r="A19" s="2" t="inlineStr">
        <is>
          <t>Intent Score (1–3)</t>
        </is>
      </c>
      <c r="B19" s="3" t="inlineStr">
        <is>
          <t>Transactional = 3 · Commercial = 2 · Informational = 1 · Navigational = 1</t>
        </is>
      </c>
    </row>
    <row r="20">
      <c r="A20" s="2" t="inlineStr">
        <is>
          <t>Difficulty Score (1–3)</t>
        </is>
      </c>
      <c r="B20" s="3" t="inlineStr">
        <is>
          <t>KD 0–20 = 3 (easy) · 21–50 = 2 (medium) · 51–100 = 1 (hard). Empty until you enter KD.</t>
        </is>
      </c>
    </row>
    <row r="21">
      <c r="A21" s="2" t="inlineStr">
        <is>
          <t>Priority</t>
        </is>
      </c>
      <c r="B21" s="3" t="inlineStr">
        <is>
          <t>Relevance + Intent Score + Difficulty Score (max 9). Empty until KD is entered.</t>
        </is>
      </c>
    </row>
    <row r="22">
      <c r="A22" s="2" t="inlineStr"/>
    </row>
    <row r="23">
      <c r="A23" s="2" t="inlineStr">
        <is>
          <t>Main / Secondary / FAQ</t>
        </is>
      </c>
      <c r="B23" s="3" t="inlineStr">
        <is>
          <t>Main = the page's one primary keyword (title, H1, URL). Secondary = used in subheadings and body. FAQ = AEO question answered in the page's FAQ section.</t>
        </is>
      </c>
    </row>
    <row r="24">
      <c r="A24" s="2" t="inlineStr">
        <is>
          <t>Important</t>
        </is>
      </c>
      <c r="B24" s="3" t="inlineStr">
        <is>
          <t>Low or zero volume is normal for new AI-tool keywords. Do not delete a keyword only because volume is 0 if Relevance is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89"/>
  <sheetViews>
    <sheetView zoomScale="9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6" customWidth="1" min="2" max="2"/>
    <col width="8" customWidth="1" min="3" max="3"/>
    <col width="14" customWidth="1" min="4" max="4"/>
    <col width="22" customWidth="1" min="5" max="5"/>
    <col width="11" customWidth="1" min="6" max="6"/>
    <col width="11" customWidth="1" min="7" max="7"/>
    <col width="10" customWidth="1" min="8" max="8"/>
    <col width="14" customWidth="1" min="9" max="9"/>
    <col width="11" customWidth="1" min="10" max="10"/>
    <col width="10" customWidth="1" min="11" max="11"/>
    <col width="11" customWidth="1" min="12" max="12"/>
    <col width="9" customWidth="1" min="13" max="13"/>
    <col width="12" customWidth="1" min="14" max="14"/>
    <col width="32" customWidth="1" min="15" max="15"/>
    <col width="12" customWidth="1" min="16" max="16"/>
    <col width="28" customWidth="1" min="17" max="17"/>
    <col width="24" customWidth="1" min="18" max="18"/>
    <col width="32" customWidth="1" min="19" max="19"/>
    <col width="12" customWidth="1" min="20" max="20"/>
    <col width="36" customWidth="1" min="21" max="21"/>
  </cols>
  <sheetData>
    <row r="1" ht="34" customHeight="1">
      <c r="A1" s="8" t="inlineStr">
        <is>
          <t>ID</t>
        </is>
      </c>
      <c r="B1" s="8" t="inlineStr">
        <is>
          <t>Keyword / Question</t>
        </is>
      </c>
      <c r="C1" s="8" t="inlineStr">
        <is>
          <t>Type</t>
        </is>
      </c>
      <c r="D1" s="8" t="inlineStr">
        <is>
          <t>Source</t>
        </is>
      </c>
      <c r="E1" s="8" t="inlineStr">
        <is>
          <t>Keyword Group</t>
        </is>
      </c>
      <c r="F1" s="9" t="inlineStr">
        <is>
          <t>Monthly Volume</t>
        </is>
      </c>
      <c r="G1" s="9" t="inlineStr">
        <is>
          <t>Difficulty (KD)</t>
        </is>
      </c>
      <c r="H1" s="9" t="inlineStr">
        <is>
          <t>Trend</t>
        </is>
      </c>
      <c r="I1" s="8" t="inlineStr">
        <is>
          <t>Search Intent</t>
        </is>
      </c>
      <c r="J1" s="8" t="inlineStr">
        <is>
          <t>Relevance (1-3)</t>
        </is>
      </c>
      <c r="K1" s="10" t="inlineStr">
        <is>
          <t>Intent Score</t>
        </is>
      </c>
      <c r="L1" s="10" t="inlineStr">
        <is>
          <t>Difficulty Score</t>
        </is>
      </c>
      <c r="M1" s="10" t="inlineStr">
        <is>
          <t>Priority</t>
        </is>
      </c>
      <c r="N1" s="8" t="inlineStr">
        <is>
          <t>Main / Secondary</t>
        </is>
      </c>
      <c r="O1" s="8" t="inlineStr">
        <is>
          <t>Target Page URL</t>
        </is>
      </c>
      <c r="P1" s="8" t="inlineStr">
        <is>
          <t>Page Type</t>
        </is>
      </c>
      <c r="Q1" s="9" t="inlineStr">
        <is>
          <t>Currently Ranking (Google)</t>
        </is>
      </c>
      <c r="R1" s="9" t="inlineStr">
        <is>
          <t>AI Cites</t>
        </is>
      </c>
      <c r="S1" s="9" t="inlineStr">
        <is>
          <t>Content Gap / Angle</t>
        </is>
      </c>
      <c r="T1" s="8" t="inlineStr">
        <is>
          <t>Status</t>
        </is>
      </c>
      <c r="U1" s="8" t="inlineStr">
        <is>
          <t>Notes</t>
        </is>
      </c>
    </row>
    <row r="2">
      <c r="A2" s="11" t="n">
        <v>1</v>
      </c>
      <c r="B2" s="12" t="inlineStr">
        <is>
          <t>ai coding analytics</t>
        </is>
      </c>
      <c r="C2" s="11" t="inlineStr">
        <is>
          <t>SEO</t>
        </is>
      </c>
      <c r="D2" s="12" t="inlineStr">
        <is>
          <t>Product guide</t>
        </is>
      </c>
      <c r="E2" s="12" t="inlineStr">
        <is>
          <t>Category</t>
        </is>
      </c>
      <c r="F2" s="13" t="n"/>
      <c r="G2" s="13" t="n"/>
      <c r="H2" s="14" t="n"/>
      <c r="I2" s="12" t="inlineStr">
        <is>
          <t>Commercial</t>
        </is>
      </c>
      <c r="J2" s="15" t="n">
        <v>3</v>
      </c>
      <c r="K2" s="16">
        <f>IF(I2="","",IF(I2="Transactional",3,IF(I2="Commercial",2,1)))</f>
        <v/>
      </c>
      <c r="L2" s="16">
        <f>IF(G2="","",IF(G2&lt;=20,3,IF(G2&lt;=50,2,1)))</f>
        <v/>
      </c>
      <c r="M2" s="16">
        <f>IF(OR(J2="",K2="",L2=""),"",J2+K2+L2)</f>
        <v/>
      </c>
      <c r="N2" s="11" t="inlineStr">
        <is>
          <t>Main</t>
        </is>
      </c>
      <c r="O2" s="12" t="inlineStr">
        <is>
          <t>/</t>
        </is>
      </c>
      <c r="P2" s="12" t="inlineStr">
        <is>
          <t>Home</t>
        </is>
      </c>
      <c r="Q2" s="14" t="inlineStr">
        <is>
          <t>Google checked 20 Oct 2026. Mixed results, no clear owner:
1. wakatime.com - product homepage (coding time tracking). Shows a homepage CAN rank for this keyword.
2. jellyfish.co - 'best AI coding analytics platforms' list written by a competitor. Shows searchers compare tools.
3. artificialanalysis.ai - different meaning: benchmarks of AI models, not developer analytics. Shows Google is unsure what the term means.
4. difinitydigital.com - paid ad (link has gclid), not an organic result; ignore.
Kite Pulse does not rank yet.</t>
        </is>
      </c>
      <c r="R2" s="14" t="n"/>
      <c r="S2" s="14" t="inlineStr">
        <is>
          <t>Gap: the category is new and nobody owns it; no result shows what AI coding analytics actually looks like for a team.
Angle for the homepage (keep it a product page, not a guide):
1. Headline that defines the term: 'AI coding analytics: see how your team really uses AI coding assistants' - separates us from AI model benchmarks.
2. Clickable sample dashboard in the real console UI: usage per developer, cost per tool, plan-limit headroom, work patterns; filter by tool and project.
3. 'What would you see?': visitor picks their tools and team size, sample dashboard updates.
4. How it works animation: agent on each laptop, secrets stripped, data goes to your own server (answers privacy early).
5. Links to deep pages: /ai-cost-tracking, /claude-code-usage-limits, /ai-coding-assistant-pricing, /blog/ai-coding-roi.
Off-page: get Kite Pulse onto neutral 'best AI coding analytics tools' lists - AI answer engines build answers from these lists.</t>
        </is>
      </c>
      <c r="T2" s="12" t="inlineStr">
        <is>
          <t>Not started</t>
        </is>
      </c>
      <c r="U2" s="12" t="inlineStr">
        <is>
          <t>Category to own</t>
        </is>
      </c>
    </row>
    <row r="3">
      <c r="A3" s="11" t="n">
        <v>2</v>
      </c>
      <c r="B3" s="12" t="inlineStr">
        <is>
          <t>ai coding assistant analytics</t>
        </is>
      </c>
      <c r="C3" s="11" t="inlineStr">
        <is>
          <t>SEO</t>
        </is>
      </c>
      <c r="D3" s="12" t="inlineStr">
        <is>
          <t>Product guide</t>
        </is>
      </c>
      <c r="E3" s="12" t="inlineStr">
        <is>
          <t>Category</t>
        </is>
      </c>
      <c r="F3" s="13" t="n"/>
      <c r="G3" s="13" t="n"/>
      <c r="H3" s="14" t="n"/>
      <c r="I3" s="12" t="inlineStr">
        <is>
          <t>Commercial</t>
        </is>
      </c>
      <c r="J3" s="15" t="n">
        <v>3</v>
      </c>
      <c r="K3" s="16">
        <f>IF(I3="","",IF(I3="Transactional",3,IF(I3="Commercial",2,1)))</f>
        <v/>
      </c>
      <c r="L3" s="16">
        <f>IF(G3="","",IF(G3&lt;=20,3,IF(G3&lt;=50,2,1)))</f>
        <v/>
      </c>
      <c r="M3" s="16">
        <f>IF(OR(J3="",K3="",L3=""),"",J3+K3+L3)</f>
        <v/>
      </c>
      <c r="N3" s="11" t="inlineStr">
        <is>
          <t>Secondary</t>
        </is>
      </c>
      <c r="O3" s="12" t="inlineStr">
        <is>
          <t>/</t>
        </is>
      </c>
      <c r="P3" s="12" t="inlineStr">
        <is>
          <t>Home</t>
        </is>
      </c>
      <c r="Q3" s="14" t="inlineStr">
        <is>
          <t>Google checked 20 Oct 2026. Google mostly reads this as 'compare AI coding assistants', not 'analyse how your team uses them':
1. artificialanalysis.ai - benchmarks of coding agents (model/agent scores), not team usage analytics.
2. qodo.ai - 'best AI coding assistant tools' listicle by an assistant vendor.
3. axify.io - comparison of 20 AI coding assistants, written by an engineering-intelligence vendor (competitor).
4. jellyfish.co - 'best AI coding analytics platforms' list by a competitor. Only result that matches our meaning.
Kite Pulse does not rank yet. Same domains as 'ai coding analytics' (jellyfish, artificialanalysis).</t>
        </is>
      </c>
      <c r="R3" s="14" t="n"/>
      <c r="S3" s="14" t="inlineStr">
        <is>
          <t>Gap: 3 of 4 results compare assistants using generic benchmarks or vendor opinions; none lets a team compare assistants on its OWN usage data. Only jellyfish covers analytics, and it is a list, not a product view.
Use on the homepage (Secondary to 'ai coding analytics'):
1. Use the phrase in a subheading, e.g. 'AI coding assistant analytics for your whole team'.
2. Homepage section that bridges the two meanings: 'Benchmarks tell you which assistant is best in general. Kite Pulse tells you which one works for your team.'
3. Sample dashboard view comparing tools side by side from real data: sessions, cost, retry loops, plan headroom per tool.
Off-page: pitch Kite Pulse to 'best AI coding assistants' listicles (qodo/axify-style) as the way to evaluate them.</t>
        </is>
      </c>
      <c r="T3" s="12" t="inlineStr">
        <is>
          <t>Not started</t>
        </is>
      </c>
      <c r="U3" s="12" t="inlineStr">
        <is>
          <t>Moved to Secondary on the homepage 20 Oct 2026: Google results overlap with #1 'ai coding analytics' (jellyfish, artificialanalysis), so one page should target both.</t>
        </is>
      </c>
    </row>
    <row r="4">
      <c r="A4" s="11" t="n">
        <v>3</v>
      </c>
      <c r="B4" s="12" t="inlineStr">
        <is>
          <t>ai coding analytics platform</t>
        </is>
      </c>
      <c r="C4" s="11" t="inlineStr">
        <is>
          <t>SEO</t>
        </is>
      </c>
      <c r="D4" s="12" t="inlineStr">
        <is>
          <t>Product guide</t>
        </is>
      </c>
      <c r="E4" s="12" t="inlineStr">
        <is>
          <t>Category</t>
        </is>
      </c>
      <c r="F4" s="13" t="n"/>
      <c r="G4" s="13" t="n"/>
      <c r="H4" s="14" t="n"/>
      <c r="I4" s="12" t="inlineStr">
        <is>
          <t>Commercial</t>
        </is>
      </c>
      <c r="J4" s="15" t="n">
        <v>3</v>
      </c>
      <c r="K4" s="16">
        <f>IF(I4="","",IF(I4="Transactional",3,IF(I4="Commercial",2,1)))</f>
        <v/>
      </c>
      <c r="L4" s="16">
        <f>IF(G4="","",IF(G4&lt;=20,3,IF(G4&lt;=50,2,1)))</f>
        <v/>
      </c>
      <c r="M4" s="16">
        <f>IF(OR(J4="",K4="",L4=""),"",J4+K4+L4)</f>
        <v/>
      </c>
      <c r="N4" s="11" t="inlineStr">
        <is>
          <t>Secondary</t>
        </is>
      </c>
      <c r="O4" s="12" t="inlineStr">
        <is>
          <t>/ai-coding-analytics</t>
        </is>
      </c>
      <c r="P4" s="12" t="inlineStr">
        <is>
          <t>Solution</t>
        </is>
      </c>
      <c r="Q4" s="14" t="n"/>
      <c r="R4" s="14" t="n"/>
      <c r="S4" s="14" t="n"/>
      <c r="T4" s="12" t="inlineStr">
        <is>
          <t>Not started</t>
        </is>
      </c>
      <c r="U4" s="12" t="inlineStr"/>
    </row>
    <row r="5">
      <c r="A5" s="11" t="n">
        <v>4</v>
      </c>
      <c r="B5" s="12" t="inlineStr">
        <is>
          <t>ai usage dashboard for developers</t>
        </is>
      </c>
      <c r="C5" s="11" t="inlineStr">
        <is>
          <t>SEO</t>
        </is>
      </c>
      <c r="D5" s="12" t="inlineStr">
        <is>
          <t>Product guide</t>
        </is>
      </c>
      <c r="E5" s="12" t="inlineStr">
        <is>
          <t>Category</t>
        </is>
      </c>
      <c r="F5" s="13" t="n"/>
      <c r="G5" s="13" t="n"/>
      <c r="H5" s="14" t="n"/>
      <c r="I5" s="12" t="inlineStr">
        <is>
          <t>Commercial</t>
        </is>
      </c>
      <c r="J5" s="15" t="n">
        <v>3</v>
      </c>
      <c r="K5" s="16">
        <f>IF(I5="","",IF(I5="Transactional",3,IF(I5="Commercial",2,1)))</f>
        <v/>
      </c>
      <c r="L5" s="16">
        <f>IF(G5="","",IF(G5&lt;=20,3,IF(G5&lt;=50,2,1)))</f>
        <v/>
      </c>
      <c r="M5" s="16">
        <f>IF(OR(J5="",K5="",L5=""),"",J5+K5+L5)</f>
        <v/>
      </c>
      <c r="N5" s="11" t="inlineStr">
        <is>
          <t>Secondary</t>
        </is>
      </c>
      <c r="O5" s="12" t="inlineStr">
        <is>
          <t>/ai-coding-analytics</t>
        </is>
      </c>
      <c r="P5" s="12" t="inlineStr">
        <is>
          <t>Solution</t>
        </is>
      </c>
      <c r="Q5" s="14" t="n"/>
      <c r="R5" s="14" t="n"/>
      <c r="S5" s="14" t="n"/>
      <c r="T5" s="12" t="inlineStr">
        <is>
          <t>Not started</t>
        </is>
      </c>
      <c r="U5" s="12" t="inlineStr"/>
    </row>
    <row r="6">
      <c r="A6" s="11" t="n">
        <v>5</v>
      </c>
      <c r="B6" s="12" t="inlineStr">
        <is>
          <t>ai adoption tracking</t>
        </is>
      </c>
      <c r="C6" s="11" t="inlineStr">
        <is>
          <t>SEO</t>
        </is>
      </c>
      <c r="D6" s="12" t="inlineStr">
        <is>
          <t>Product guide</t>
        </is>
      </c>
      <c r="E6" s="12" t="inlineStr">
        <is>
          <t>Category</t>
        </is>
      </c>
      <c r="F6" s="13" t="n"/>
      <c r="G6" s="13" t="n"/>
      <c r="H6" s="14" t="n"/>
      <c r="I6" s="12" t="inlineStr">
        <is>
          <t>Commercial</t>
        </is>
      </c>
      <c r="J6" s="15" t="n">
        <v>3</v>
      </c>
      <c r="K6" s="16">
        <f>IF(I6="","",IF(I6="Transactional",3,IF(I6="Commercial",2,1)))</f>
        <v/>
      </c>
      <c r="L6" s="16">
        <f>IF(G6="","",IF(G6&lt;=20,3,IF(G6&lt;=50,2,1)))</f>
        <v/>
      </c>
      <c r="M6" s="16">
        <f>IF(OR(J6="",K6="",L6=""),"",J6+K6+L6)</f>
        <v/>
      </c>
      <c r="N6" s="11" t="inlineStr">
        <is>
          <t>Secondary</t>
        </is>
      </c>
      <c r="O6" s="12" t="inlineStr">
        <is>
          <t>/ai-coding-analytics</t>
        </is>
      </c>
      <c r="P6" s="12" t="inlineStr">
        <is>
          <t>Solution</t>
        </is>
      </c>
      <c r="Q6" s="14" t="n"/>
      <c r="R6" s="14" t="n"/>
      <c r="S6" s="14" t="n"/>
      <c r="T6" s="12" t="inlineStr">
        <is>
          <t>Not started</t>
        </is>
      </c>
      <c r="U6" s="12" t="inlineStr"/>
    </row>
    <row r="7">
      <c r="A7" s="11" t="n">
        <v>6</v>
      </c>
      <c r="B7" s="12" t="inlineStr">
        <is>
          <t>track ai coding tool usage</t>
        </is>
      </c>
      <c r="C7" s="11" t="inlineStr">
        <is>
          <t>SEO</t>
        </is>
      </c>
      <c r="D7" s="12" t="inlineStr">
        <is>
          <t>Product guide</t>
        </is>
      </c>
      <c r="E7" s="12" t="inlineStr">
        <is>
          <t>Category</t>
        </is>
      </c>
      <c r="F7" s="13" t="n"/>
      <c r="G7" s="13" t="n"/>
      <c r="H7" s="14" t="n"/>
      <c r="I7" s="12" t="inlineStr">
        <is>
          <t>Commercial</t>
        </is>
      </c>
      <c r="J7" s="15" t="n">
        <v>3</v>
      </c>
      <c r="K7" s="16">
        <f>IF(I7="","",IF(I7="Transactional",3,IF(I7="Commercial",2,1)))</f>
        <v/>
      </c>
      <c r="L7" s="16">
        <f>IF(G7="","",IF(G7&lt;=20,3,IF(G7&lt;=50,2,1)))</f>
        <v/>
      </c>
      <c r="M7" s="16">
        <f>IF(OR(J7="",K7="",L7=""),"",J7+K7+L7)</f>
        <v/>
      </c>
      <c r="N7" s="11" t="inlineStr">
        <is>
          <t>Secondary</t>
        </is>
      </c>
      <c r="O7" s="12" t="inlineStr">
        <is>
          <t>/ai-coding-analytics</t>
        </is>
      </c>
      <c r="P7" s="12" t="inlineStr">
        <is>
          <t>Solution</t>
        </is>
      </c>
      <c r="Q7" s="14" t="n"/>
      <c r="R7" s="14" t="n"/>
      <c r="S7" s="14" t="n"/>
      <c r="T7" s="12" t="inlineStr">
        <is>
          <t>Not started</t>
        </is>
      </c>
      <c r="U7" s="12" t="inlineStr"/>
    </row>
    <row r="8">
      <c r="A8" s="11" t="n">
        <v>7</v>
      </c>
      <c r="B8" s="12" t="inlineStr">
        <is>
          <t>ai coding tools usage analytics for teams</t>
        </is>
      </c>
      <c r="C8" s="11" t="inlineStr">
        <is>
          <t>SEO</t>
        </is>
      </c>
      <c r="D8" s="12" t="inlineStr">
        <is>
          <t>Product guide</t>
        </is>
      </c>
      <c r="E8" s="12" t="inlineStr">
        <is>
          <t>Category</t>
        </is>
      </c>
      <c r="F8" s="13" t="n"/>
      <c r="G8" s="13" t="n"/>
      <c r="H8" s="14" t="n"/>
      <c r="I8" s="12" t="inlineStr">
        <is>
          <t>Commercial</t>
        </is>
      </c>
      <c r="J8" s="15" t="n">
        <v>3</v>
      </c>
      <c r="K8" s="16">
        <f>IF(I8="","",IF(I8="Transactional",3,IF(I8="Commercial",2,1)))</f>
        <v/>
      </c>
      <c r="L8" s="16">
        <f>IF(G8="","",IF(G8&lt;=20,3,IF(G8&lt;=50,2,1)))</f>
        <v/>
      </c>
      <c r="M8" s="16">
        <f>IF(OR(J8="",K8="",L8=""),"",J8+K8+L8)</f>
        <v/>
      </c>
      <c r="N8" s="11" t="inlineStr">
        <is>
          <t>Secondary</t>
        </is>
      </c>
      <c r="O8" s="12" t="inlineStr">
        <is>
          <t>/ai-coding-analytics</t>
        </is>
      </c>
      <c r="P8" s="12" t="inlineStr">
        <is>
          <t>Solution</t>
        </is>
      </c>
      <c r="Q8" s="14" t="n"/>
      <c r="R8" s="14" t="n"/>
      <c r="S8" s="14" t="n"/>
      <c r="T8" s="12" t="inlineStr">
        <is>
          <t>Not started</t>
        </is>
      </c>
      <c r="U8" s="12" t="inlineStr"/>
    </row>
    <row r="9">
      <c r="A9" s="11" t="n">
        <v>8</v>
      </c>
      <c r="B9" s="12" t="inlineStr">
        <is>
          <t>ai assisted development analytics</t>
        </is>
      </c>
      <c r="C9" s="11" t="inlineStr">
        <is>
          <t>SEO</t>
        </is>
      </c>
      <c r="D9" s="12" t="inlineStr">
        <is>
          <t>Product guide</t>
        </is>
      </c>
      <c r="E9" s="12" t="inlineStr">
        <is>
          <t>Category</t>
        </is>
      </c>
      <c r="F9" s="13" t="n"/>
      <c r="G9" s="13" t="n"/>
      <c r="H9" s="14" t="n"/>
      <c r="I9" s="12" t="inlineStr">
        <is>
          <t>Commercial</t>
        </is>
      </c>
      <c r="J9" s="15" t="n">
        <v>3</v>
      </c>
      <c r="K9" s="16">
        <f>IF(I9="","",IF(I9="Transactional",3,IF(I9="Commercial",2,1)))</f>
        <v/>
      </c>
      <c r="L9" s="16">
        <f>IF(G9="","",IF(G9&lt;=20,3,IF(G9&lt;=50,2,1)))</f>
        <v/>
      </c>
      <c r="M9" s="16">
        <f>IF(OR(J9="",K9="",L9=""),"",J9+K9+L9)</f>
        <v/>
      </c>
      <c r="N9" s="11" t="inlineStr">
        <is>
          <t>Secondary</t>
        </is>
      </c>
      <c r="O9" s="12" t="inlineStr">
        <is>
          <t>/ai-coding-analytics</t>
        </is>
      </c>
      <c r="P9" s="12" t="inlineStr">
        <is>
          <t>Solution</t>
        </is>
      </c>
      <c r="Q9" s="14" t="n"/>
      <c r="R9" s="14" t="n"/>
      <c r="S9" s="14" t="n"/>
      <c r="T9" s="12" t="inlineStr">
        <is>
          <t>Not started</t>
        </is>
      </c>
      <c r="U9" s="12" t="inlineStr"/>
    </row>
    <row r="10">
      <c r="A10" s="11" t="n">
        <v>9</v>
      </c>
      <c r="B10" s="12" t="inlineStr">
        <is>
          <t>engineering intelligence platform</t>
        </is>
      </c>
      <c r="C10" s="11" t="inlineStr">
        <is>
          <t>SEO</t>
        </is>
      </c>
      <c r="D10" s="12" t="inlineStr">
        <is>
          <t>Product guide</t>
        </is>
      </c>
      <c r="E10" s="12" t="inlineStr">
        <is>
          <t>Engineering Intelligence</t>
        </is>
      </c>
      <c r="F10" s="13" t="n"/>
      <c r="G10" s="13" t="n"/>
      <c r="H10" s="14" t="n"/>
      <c r="I10" s="12" t="inlineStr">
        <is>
          <t>Commercial</t>
        </is>
      </c>
      <c r="J10" s="15" t="n">
        <v>2</v>
      </c>
      <c r="K10" s="16">
        <f>IF(I10="","",IF(I10="Transactional",3,IF(I10="Commercial",2,1)))</f>
        <v/>
      </c>
      <c r="L10" s="16">
        <f>IF(G10="","",IF(G10&lt;=20,3,IF(G10&lt;=50,2,1)))</f>
        <v/>
      </c>
      <c r="M10" s="16">
        <f>IF(OR(J10="",K10="",L10=""),"",J10+K10+L10)</f>
        <v/>
      </c>
      <c r="N10" s="11" t="inlineStr">
        <is>
          <t>Main</t>
        </is>
      </c>
      <c r="O10" s="12" t="inlineStr">
        <is>
          <t>/engineering-intelligence</t>
        </is>
      </c>
      <c r="P10" s="12" t="inlineStr">
        <is>
          <t>Solution</t>
        </is>
      </c>
      <c r="Q10" s="14" t="inlineStr">
        <is>
          <t>Google checked 20 Oct 2026. Established category; Google shows explainers and comparisons, no product homepages:
1. cortex.io - 'engineering intelligence platforms: definition, benefits, tools'. Explainer + tool list: searchers first want to know what it is.
2. uplevelteam.com - 'top engineering intelligence platforms 2026'. Vendor-written 'best tools' list: searchers compare vendors.
3. spread.ai/platform - likely a different meaning: engineering intelligence for hardware / product engineering, not software teams (verify).
4. gartner.com - Peer Insights category 'Developer Productivity Insight Platforms'. Gartner's name for this market; a review site buyers trust.
Kite Pulse does not rank yet.</t>
        </is>
      </c>
      <c r="R10" s="14" t="n"/>
      <c r="S10" s="14" t="inlineStr">
        <is>
          <t>Gap: every vendor builds on outputs (commits, pull requests, tickets, surveys) and all ranking pages are text. Nobody covers engineering intelligence built on AI coding sessions (the work process), which is Kite Pulse's position in the product guide.
Angle - solution page that explains and helps evaluate (not a blog, not a step-by-step guide):
1. Short answer defining the term for software teams (also separates us from Spread's hardware meaning).
2. 'Outputs vs process' animation: one feature as other platforms see it vs how Kite Pulse sees it.
3. 'Which platform fits us?' evaluator: questions to answer + data available -&gt; scored checklist; honest about when a git/Jira-based tool fits better (e.g. DORA, cycle time).
4. Platform-type comparison table linking to /compare pages.
5. Clickable sample dashboard. 6. FAQ from the AEO questions mapped to this page.</t>
        </is>
      </c>
      <c r="T10" s="12" t="inlineStr">
        <is>
          <t>Not started</t>
        </is>
      </c>
      <c r="U10" s="12" t="inlineStr">
        <is>
          <t>Competitive. Earlier note said LinearB and Jellyfish rank here; Google check on 20 Oct 2026 showed Cortex, Uplevel, Spread (different meaning) and Gartner Peer Insights instead</t>
        </is>
      </c>
    </row>
    <row r="11">
      <c r="A11" s="11" t="n">
        <v>10</v>
      </c>
      <c r="B11" s="12" t="inlineStr">
        <is>
          <t>software engineering intelligence</t>
        </is>
      </c>
      <c r="C11" s="11" t="inlineStr">
        <is>
          <t>SEO</t>
        </is>
      </c>
      <c r="D11" s="12" t="inlineStr">
        <is>
          <t>Product guide</t>
        </is>
      </c>
      <c r="E11" s="12" t="inlineStr">
        <is>
          <t>Engineering Intelligence</t>
        </is>
      </c>
      <c r="F11" s="13" t="n"/>
      <c r="G11" s="13" t="n"/>
      <c r="H11" s="14" t="n"/>
      <c r="I11" s="12" t="inlineStr">
        <is>
          <t>Commercial</t>
        </is>
      </c>
      <c r="J11" s="15" t="n">
        <v>2</v>
      </c>
      <c r="K11" s="16">
        <f>IF(I11="","",IF(I11="Transactional",3,IF(I11="Commercial",2,1)))</f>
        <v/>
      </c>
      <c r="L11" s="16">
        <f>IF(G11="","",IF(G11&lt;=20,3,IF(G11&lt;=50,2,1)))</f>
        <v/>
      </c>
      <c r="M11" s="16">
        <f>IF(OR(J11="",K11="",L11=""),"",J11+K11+L11)</f>
        <v/>
      </c>
      <c r="N11" s="11" t="inlineStr">
        <is>
          <t>Secondary</t>
        </is>
      </c>
      <c r="O11" s="12" t="inlineStr">
        <is>
          <t>/engineering-intelligence</t>
        </is>
      </c>
      <c r="P11" s="12" t="inlineStr">
        <is>
          <t>Solution</t>
        </is>
      </c>
      <c r="Q11" s="14" t="n"/>
      <c r="R11" s="14" t="n"/>
      <c r="S11" s="14" t="n"/>
      <c r="T11" s="12" t="inlineStr">
        <is>
          <t>Not started</t>
        </is>
      </c>
      <c r="U11" s="12" t="inlineStr"/>
    </row>
    <row r="12">
      <c r="A12" s="11" t="n">
        <v>11</v>
      </c>
      <c r="B12" s="12" t="inlineStr">
        <is>
          <t>developer productivity tool</t>
        </is>
      </c>
      <c r="C12" s="11" t="inlineStr">
        <is>
          <t>SEO</t>
        </is>
      </c>
      <c r="D12" s="12" t="inlineStr">
        <is>
          <t>Product guide</t>
        </is>
      </c>
      <c r="E12" s="12" t="inlineStr">
        <is>
          <t>Engineering Intelligence</t>
        </is>
      </c>
      <c r="F12" s="13" t="n"/>
      <c r="G12" s="13" t="n"/>
      <c r="H12" s="14" t="n"/>
      <c r="I12" s="12" t="inlineStr">
        <is>
          <t>Commercial</t>
        </is>
      </c>
      <c r="J12" s="15" t="n">
        <v>2</v>
      </c>
      <c r="K12" s="16">
        <f>IF(I12="","",IF(I12="Transactional",3,IF(I12="Commercial",2,1)))</f>
        <v/>
      </c>
      <c r="L12" s="16">
        <f>IF(G12="","",IF(G12&lt;=20,3,IF(G12&lt;=50,2,1)))</f>
        <v/>
      </c>
      <c r="M12" s="16">
        <f>IF(OR(J12="",K12="",L12=""),"",J12+K12+L12)</f>
        <v/>
      </c>
      <c r="N12" s="11" t="inlineStr">
        <is>
          <t>Secondary</t>
        </is>
      </c>
      <c r="O12" s="12" t="inlineStr">
        <is>
          <t>/engineering-intelligence</t>
        </is>
      </c>
      <c r="P12" s="12" t="inlineStr">
        <is>
          <t>Solution</t>
        </is>
      </c>
      <c r="Q12" s="14" t="n"/>
      <c r="R12" s="14" t="n"/>
      <c r="S12" s="14" t="n"/>
      <c r="T12" s="12" t="inlineStr">
        <is>
          <t>Not started</t>
        </is>
      </c>
      <c r="U12" s="12" t="inlineStr"/>
    </row>
    <row r="13">
      <c r="A13" s="11" t="n">
        <v>12</v>
      </c>
      <c r="B13" s="12" t="inlineStr">
        <is>
          <t>developer analytics</t>
        </is>
      </c>
      <c r="C13" s="11" t="inlineStr">
        <is>
          <t>SEO</t>
        </is>
      </c>
      <c r="D13" s="12" t="inlineStr">
        <is>
          <t>Product guide</t>
        </is>
      </c>
      <c r="E13" s="12" t="inlineStr">
        <is>
          <t>Engineering Intelligence</t>
        </is>
      </c>
      <c r="F13" s="13" t="n"/>
      <c r="G13" s="13" t="n"/>
      <c r="H13" s="14" t="n"/>
      <c r="I13" s="12" t="inlineStr">
        <is>
          <t>Commercial</t>
        </is>
      </c>
      <c r="J13" s="15" t="n">
        <v>2</v>
      </c>
      <c r="K13" s="16">
        <f>IF(I13="","",IF(I13="Transactional",3,IF(I13="Commercial",2,1)))</f>
        <v/>
      </c>
      <c r="L13" s="16">
        <f>IF(G13="","",IF(G13&lt;=20,3,IF(G13&lt;=50,2,1)))</f>
        <v/>
      </c>
      <c r="M13" s="16">
        <f>IF(OR(J13="",K13="",L13=""),"",J13+K13+L13)</f>
        <v/>
      </c>
      <c r="N13" s="11" t="inlineStr">
        <is>
          <t>Secondary</t>
        </is>
      </c>
      <c r="O13" s="12" t="inlineStr">
        <is>
          <t>/engineering-intelligence</t>
        </is>
      </c>
      <c r="P13" s="12" t="inlineStr">
        <is>
          <t>Solution</t>
        </is>
      </c>
      <c r="Q13" s="14" t="n"/>
      <c r="R13" s="14" t="n"/>
      <c r="S13" s="14" t="n"/>
      <c r="T13" s="12" t="inlineStr">
        <is>
          <t>Not started</t>
        </is>
      </c>
      <c r="U13" s="12" t="inlineStr"/>
    </row>
    <row r="14">
      <c r="A14" s="11" t="n">
        <v>13</v>
      </c>
      <c r="B14" s="12" t="inlineStr">
        <is>
          <t>developer productivity analytics</t>
        </is>
      </c>
      <c r="C14" s="11" t="inlineStr">
        <is>
          <t>SEO</t>
        </is>
      </c>
      <c r="D14" s="12" t="inlineStr">
        <is>
          <t>Product guide</t>
        </is>
      </c>
      <c r="E14" s="12" t="inlineStr">
        <is>
          <t>Engineering Intelligence</t>
        </is>
      </c>
      <c r="F14" s="13" t="n"/>
      <c r="G14" s="13" t="n"/>
      <c r="H14" s="14" t="n"/>
      <c r="I14" s="12" t="inlineStr">
        <is>
          <t>Commercial</t>
        </is>
      </c>
      <c r="J14" s="15" t="n">
        <v>2</v>
      </c>
      <c r="K14" s="16">
        <f>IF(I14="","",IF(I14="Transactional",3,IF(I14="Commercial",2,1)))</f>
        <v/>
      </c>
      <c r="L14" s="16">
        <f>IF(G14="","",IF(G14&lt;=20,3,IF(G14&lt;=50,2,1)))</f>
        <v/>
      </c>
      <c r="M14" s="16">
        <f>IF(OR(J14="",K14="",L14=""),"",J14+K14+L14)</f>
        <v/>
      </c>
      <c r="N14" s="11" t="inlineStr">
        <is>
          <t>Secondary</t>
        </is>
      </c>
      <c r="O14" s="12" t="inlineStr">
        <is>
          <t>/engineering-intelligence</t>
        </is>
      </c>
      <c r="P14" s="12" t="inlineStr">
        <is>
          <t>Solution</t>
        </is>
      </c>
      <c r="Q14" s="14" t="n"/>
      <c r="R14" s="14" t="n"/>
      <c r="S14" s="14" t="n"/>
      <c r="T14" s="12" t="inlineStr">
        <is>
          <t>Not started</t>
        </is>
      </c>
      <c r="U14" s="12" t="inlineStr"/>
    </row>
    <row r="15">
      <c r="A15" s="11" t="n">
        <v>14</v>
      </c>
      <c r="B15" s="12" t="inlineStr">
        <is>
          <t>engineering visibility tool</t>
        </is>
      </c>
      <c r="C15" s="11" t="inlineStr">
        <is>
          <t>SEO</t>
        </is>
      </c>
      <c r="D15" s="12" t="inlineStr">
        <is>
          <t>Product guide</t>
        </is>
      </c>
      <c r="E15" s="12" t="inlineStr">
        <is>
          <t>Engineering Intelligence</t>
        </is>
      </c>
      <c r="F15" s="13" t="n"/>
      <c r="G15" s="13" t="n"/>
      <c r="H15" s="14" t="n"/>
      <c r="I15" s="12" t="inlineStr">
        <is>
          <t>Commercial</t>
        </is>
      </c>
      <c r="J15" s="15" t="n">
        <v>3</v>
      </c>
      <c r="K15" s="16">
        <f>IF(I15="","",IF(I15="Transactional",3,IF(I15="Commercial",2,1)))</f>
        <v/>
      </c>
      <c r="L15" s="16">
        <f>IF(G15="","",IF(G15&lt;=20,3,IF(G15&lt;=50,2,1)))</f>
        <v/>
      </c>
      <c r="M15" s="16">
        <f>IF(OR(J15="",K15="",L15=""),"",J15+K15+L15)</f>
        <v/>
      </c>
      <c r="N15" s="11" t="inlineStr">
        <is>
          <t>Secondary</t>
        </is>
      </c>
      <c r="O15" s="12" t="inlineStr">
        <is>
          <t>/engineering-intelligence</t>
        </is>
      </c>
      <c r="P15" s="12" t="inlineStr">
        <is>
          <t>Solution</t>
        </is>
      </c>
      <c r="Q15" s="14" t="n"/>
      <c r="R15" s="14" t="n"/>
      <c r="S15" s="14" t="n"/>
      <c r="T15" s="12" t="inlineStr">
        <is>
          <t>Not started</t>
        </is>
      </c>
      <c r="U15" s="12" t="inlineStr"/>
    </row>
    <row r="16">
      <c r="A16" s="11" t="n">
        <v>15</v>
      </c>
      <c r="B16" s="12" t="inlineStr">
        <is>
          <t>developer experience metrics</t>
        </is>
      </c>
      <c r="C16" s="11" t="inlineStr">
        <is>
          <t>SEO</t>
        </is>
      </c>
      <c r="D16" s="12" t="inlineStr">
        <is>
          <t>Product guide</t>
        </is>
      </c>
      <c r="E16" s="12" t="inlineStr">
        <is>
          <t>Engineering Intelligence</t>
        </is>
      </c>
      <c r="F16" s="13" t="n"/>
      <c r="G16" s="13" t="n"/>
      <c r="H16" s="14" t="n"/>
      <c r="I16" s="12" t="inlineStr">
        <is>
          <t>Informational</t>
        </is>
      </c>
      <c r="J16" s="15" t="n">
        <v>2</v>
      </c>
      <c r="K16" s="16">
        <f>IF(I16="","",IF(I16="Transactional",3,IF(I16="Commercial",2,1)))</f>
        <v/>
      </c>
      <c r="L16" s="16">
        <f>IF(G16="","",IF(G16&lt;=20,3,IF(G16&lt;=50,2,1)))</f>
        <v/>
      </c>
      <c r="M16" s="16">
        <f>IF(OR(J16="",K16="",L16=""),"",J16+K16+L16)</f>
        <v/>
      </c>
      <c r="N16" s="11" t="inlineStr">
        <is>
          <t>Main</t>
        </is>
      </c>
      <c r="O16" s="12" t="inlineStr">
        <is>
          <t>/blog/developer-experience-metrics</t>
        </is>
      </c>
      <c r="P16" s="12" t="inlineStr">
        <is>
          <t>Interactive guide</t>
        </is>
      </c>
      <c r="Q16" s="14" t="inlineStr">
        <is>
          <t>Google checked 20 Oct 2026. All results teach; no product pages rank:
1. getdx.com - 'developer productivity metrics' blog. DX is the company behind the best-known DevEx framework.
2. cortex.io - 'developer experience metrics' blog.
3. port.io - 'DevEx metrics: best practices, key components and examples' blog.
4. github.com/inDriver/handbook - a real company's internal DevEx metrics framework, published openly. Shows Google rewards a framework a team can actually use.
5. mstone.ai - glossary entry 'Developer Experience Index'. Shows short, quotable definitions rank (and feed AI answers).
Kite Pulse does not rank yet.</t>
        </is>
      </c>
      <c r="R16" s="14" t="n"/>
      <c r="S16" s="14" t="inlineStr">
        <is>
          <t>Gap: all results are text, and the common frameworks (SPACE, DevEx framework, DX Core 4) lean on surveys. Nobody lets the reader build their own metric set, and nobody covers what AI coding sessions now show directly.
Angle - 'DevEx metrics for the AI era: what surveys measure and what AI sessions now show directly' (honest that surveys still matter for how developers feel):
1. Short answer + one-line definitions of key terms (competes with the glossary result).
2. Framework explorer: tabs for SPACE, DevEx framework, DX Core 4 with dimensions and example metrics.
3. Metric library (~30 metrics) filterable by dimension, data source (survey / system / AI sessions) and effort.
4. 'Build your DevEx scorecard': pick 5-8 metrics, get targets and how to measure each, copy it (the practical framework that made the GitHub handbook rank).
5. AI-era signals: retries, abandoned approaches, stuck sessions, error loops, with a session animation - Kite Pulse comes in here.
6. 6-question team pulse check, labelled as a self-check, not a benchmark. 7. FAQ.</t>
        </is>
      </c>
      <c r="T16" s="12" t="inlineStr">
        <is>
          <t>Not started</t>
        </is>
      </c>
      <c r="U16" s="12" t="inlineStr"/>
    </row>
    <row r="17">
      <c r="A17" s="11" t="n">
        <v>16</v>
      </c>
      <c r="B17" s="12" t="inlineStr">
        <is>
          <t>measure developer experience without surveys</t>
        </is>
      </c>
      <c r="C17" s="11" t="inlineStr">
        <is>
          <t>SEO</t>
        </is>
      </c>
      <c r="D17" s="12" t="inlineStr">
        <is>
          <t>Product guide</t>
        </is>
      </c>
      <c r="E17" s="12" t="inlineStr">
        <is>
          <t>Engineering Intelligence</t>
        </is>
      </c>
      <c r="F17" s="13" t="n"/>
      <c r="G17" s="13" t="n"/>
      <c r="H17" s="14" t="n"/>
      <c r="I17" s="12" t="inlineStr">
        <is>
          <t>Informational</t>
        </is>
      </c>
      <c r="J17" s="15" t="n">
        <v>3</v>
      </c>
      <c r="K17" s="16">
        <f>IF(I17="","",IF(I17="Transactional",3,IF(I17="Commercial",2,1)))</f>
        <v/>
      </c>
      <c r="L17" s="16">
        <f>IF(G17="","",IF(G17&lt;=20,3,IF(G17&lt;=50,2,1)))</f>
        <v/>
      </c>
      <c r="M17" s="16">
        <f>IF(OR(J17="",K17="",L17=""),"",J17+K17+L17)</f>
        <v/>
      </c>
      <c r="N17" s="11" t="inlineStr">
        <is>
          <t>Secondary</t>
        </is>
      </c>
      <c r="O17" s="12" t="inlineStr">
        <is>
          <t>/blog/developer-experience-metrics</t>
        </is>
      </c>
      <c r="P17" s="12" t="inlineStr">
        <is>
          <t>Interactive guide</t>
        </is>
      </c>
      <c r="Q17" s="14" t="n"/>
      <c r="R17" s="14" t="n"/>
      <c r="S17" s="14" t="n"/>
      <c r="T17" s="12" t="inlineStr">
        <is>
          <t>Not started</t>
        </is>
      </c>
      <c r="U17" s="12" t="inlineStr"/>
    </row>
    <row r="18">
      <c r="A18" s="11" t="n">
        <v>17</v>
      </c>
      <c r="B18" s="12" t="inlineStr">
        <is>
          <t>measure developer productivity with ai</t>
        </is>
      </c>
      <c r="C18" s="11" t="inlineStr">
        <is>
          <t>SEO</t>
        </is>
      </c>
      <c r="D18" s="12" t="inlineStr">
        <is>
          <t>Product guide</t>
        </is>
      </c>
      <c r="E18" s="12" t="inlineStr">
        <is>
          <t>Engineering Intelligence</t>
        </is>
      </c>
      <c r="F18" s="13" t="n"/>
      <c r="G18" s="13" t="n"/>
      <c r="H18" s="14" t="n"/>
      <c r="I18" s="12" t="inlineStr">
        <is>
          <t>Informational</t>
        </is>
      </c>
      <c r="J18" s="15" t="n">
        <v>2</v>
      </c>
      <c r="K18" s="16">
        <f>IF(I18="","",IF(I18="Transactional",3,IF(I18="Commercial",2,1)))</f>
        <v/>
      </c>
      <c r="L18" s="16">
        <f>IF(G18="","",IF(G18&lt;=20,3,IF(G18&lt;=50,2,1)))</f>
        <v/>
      </c>
      <c r="M18" s="16">
        <f>IF(OR(J18="",K18="",L18=""),"",J18+K18+L18)</f>
        <v/>
      </c>
      <c r="N18" s="11" t="inlineStr">
        <is>
          <t>Main</t>
        </is>
      </c>
      <c r="O18" s="12" t="inlineStr">
        <is>
          <t>/blog/measure-developer-productivity-ai</t>
        </is>
      </c>
      <c r="P18" s="12" t="inlineStr">
        <is>
          <t>Interactive guide</t>
        </is>
      </c>
      <c r="Q18" s="14" t="inlineStr">
        <is>
          <t>Google checked 20 Oct 2026. All text; mix of vendor method content and developer scepticism:
1. getdx.com - 'AI measurement hub'. Vendor resource hub with a framework for measuring AI impact: searchers want a structured method.
2. Reddit r/programming - 'Measuring the impact of AI on experienced ... developer productivity'. Developers discussing a study, probably METR (2025), which found experienced developers were slower with AI while believing they were faster: searchers are sceptical and want evidence, not vendor claims.
3. axify.io - 'use AI for developer productivity'. About using AI to be more productive - a slightly different intent.
4. uplevelteam.com - 'measuring developer productivity'. General measurement guide.
Kite Pulse does not rank yet.</t>
        </is>
      </c>
      <c r="R18" s="14" t="n"/>
      <c r="S18" s="14" t="inlineStr">
        <is>
          <t>Gap: nobody lets readers test their assumptions or design a fair measurement, and vendor pages repeat speed-up claims the Reddit audience does not trust.
Angle - evidence over hype: 'Output counts cannot tell you if AI is helping; here is how to measure it properly, including the process inside AI sessions' (product guide: more commits and PRs, yet delivery feels no faster).
1. Short answer. 2. 'Guess first' game: reader guesses AI speed-up, then sees the research with a link (verify study figures against the paper).
3. 'Good metric or vanity metric?' quiz (AI lines of code, acceptance rate, commits, cycle time, change failure rate, rework).
4. Framework explorer: adoption, delivery, quality, experience.
5. 'Design a fair test' builder: team, baseline, comparison group, 3 metrics -&gt; copyable plan.
6. What AI sessions reveal (retries, abandoned approaches) - Kite Pulse comes in here. 7. FAQ.
Later: anonymised, aggregated Kite Pulse data report (needs customer consent and privacy review).</t>
        </is>
      </c>
      <c r="T18" s="12" t="inlineStr">
        <is>
          <t>Not started</t>
        </is>
      </c>
      <c r="U18" s="12" t="inlineStr"/>
    </row>
    <row r="19">
      <c r="A19" s="11" t="n">
        <v>18</v>
      </c>
      <c r="B19" s="12" t="inlineStr">
        <is>
          <t>ai coding cost tracking</t>
        </is>
      </c>
      <c r="C19" s="11" t="inlineStr">
        <is>
          <t>SEO</t>
        </is>
      </c>
      <c r="D19" s="12" t="inlineStr">
        <is>
          <t>Product guide</t>
        </is>
      </c>
      <c r="E19" s="12" t="inlineStr">
        <is>
          <t>Cost</t>
        </is>
      </c>
      <c r="F19" s="13" t="n"/>
      <c r="G19" s="13" t="n"/>
      <c r="H19" s="14" t="n"/>
      <c r="I19" s="12" t="inlineStr">
        <is>
          <t>Commercial</t>
        </is>
      </c>
      <c r="J19" s="15" t="n">
        <v>3</v>
      </c>
      <c r="K19" s="16">
        <f>IF(I19="","",IF(I19="Transactional",3,IF(I19="Commercial",2,1)))</f>
        <v/>
      </c>
      <c r="L19" s="16">
        <f>IF(G19="","",IF(G19&lt;=20,3,IF(G19&lt;=50,2,1)))</f>
        <v/>
      </c>
      <c r="M19" s="16">
        <f>IF(OR(J19="",K19="",L19=""),"",J19+K19+L19)</f>
        <v/>
      </c>
      <c r="N19" s="11" t="inlineStr">
        <is>
          <t>Main</t>
        </is>
      </c>
      <c r="O19" s="12" t="inlineStr">
        <is>
          <t>/ai-cost-tracking</t>
        </is>
      </c>
      <c r="P19" s="12" t="inlineStr">
        <is>
          <t>Interactive guide</t>
        </is>
      </c>
      <c r="Q19" s="14" t="inlineStr">
        <is>
          <t>How-to guides from AI coding / engineering intelligence vendors (Larridin, Faros AI). Checked 20 Oct 2026</t>
        </is>
      </c>
      <c r="R19" s="14" t="n"/>
      <c r="S19" s="14" t="inlineStr">
        <is>
          <t>Competitors are text guides. Ours: interactive guide with calculators, a waste-spotting quiz and a generated tracking plan; Kite Pulse shown where it saves effort</t>
        </is>
      </c>
      <c r="T19" s="12" t="inlineStr">
        <is>
          <t>Not started</t>
        </is>
      </c>
      <c r="U19" s="12" t="inlineStr"/>
    </row>
    <row r="20">
      <c r="A20" s="11" t="n">
        <v>19</v>
      </c>
      <c r="B20" s="12" t="inlineStr">
        <is>
          <t>ai cost tracking</t>
        </is>
      </c>
      <c r="C20" s="11" t="inlineStr">
        <is>
          <t>SEO</t>
        </is>
      </c>
      <c r="D20" s="12" t="inlineStr">
        <is>
          <t>Product guide</t>
        </is>
      </c>
      <c r="E20" s="12" t="inlineStr">
        <is>
          <t>Cost</t>
        </is>
      </c>
      <c r="F20" s="13" t="n"/>
      <c r="G20" s="13" t="n"/>
      <c r="H20" s="14" t="n"/>
      <c r="I20" s="12" t="inlineStr">
        <is>
          <t>Commercial</t>
        </is>
      </c>
      <c r="J20" s="15" t="n">
        <v>2</v>
      </c>
      <c r="K20" s="16">
        <f>IF(I20="","",IF(I20="Transactional",3,IF(I20="Commercial",2,1)))</f>
        <v/>
      </c>
      <c r="L20" s="16">
        <f>IF(G20="","",IF(G20&lt;=20,3,IF(G20&lt;=50,2,1)))</f>
        <v/>
      </c>
      <c r="M20" s="16">
        <f>IF(OR(J20="",K20="",L20=""),"",J20+K20+L20)</f>
        <v/>
      </c>
      <c r="N20" s="11" t="inlineStr">
        <is>
          <t>Secondary</t>
        </is>
      </c>
      <c r="O20" s="12" t="inlineStr">
        <is>
          <t>/ai-cost-tracking</t>
        </is>
      </c>
      <c r="P20" s="12" t="inlineStr">
        <is>
          <t>Interactive guide</t>
        </is>
      </c>
      <c r="Q20" s="14" t="n"/>
      <c r="R20" s="14" t="n"/>
      <c r="S20" s="14" t="n"/>
      <c r="T20" s="12" t="inlineStr">
        <is>
          <t>Not started</t>
        </is>
      </c>
      <c r="U20" s="12" t="inlineStr">
        <is>
          <t>Broad; may bring API-billing searchers</t>
        </is>
      </c>
    </row>
    <row r="21">
      <c r="A21" s="11" t="n">
        <v>20</v>
      </c>
      <c r="B21" s="12" t="inlineStr">
        <is>
          <t>ai spend management</t>
        </is>
      </c>
      <c r="C21" s="11" t="inlineStr">
        <is>
          <t>SEO</t>
        </is>
      </c>
      <c r="D21" s="12" t="inlineStr">
        <is>
          <t>Product guide</t>
        </is>
      </c>
      <c r="E21" s="12" t="inlineStr">
        <is>
          <t>Cost</t>
        </is>
      </c>
      <c r="F21" s="13" t="n"/>
      <c r="G21" s="13" t="n"/>
      <c r="H21" s="14" t="n"/>
      <c r="I21" s="12" t="inlineStr">
        <is>
          <t>Commercial</t>
        </is>
      </c>
      <c r="J21" s="15" t="n">
        <v>2</v>
      </c>
      <c r="K21" s="16">
        <f>IF(I21="","",IF(I21="Transactional",3,IF(I21="Commercial",2,1)))</f>
        <v/>
      </c>
      <c r="L21" s="16">
        <f>IF(G21="","",IF(G21&lt;=20,3,IF(G21&lt;=50,2,1)))</f>
        <v/>
      </c>
      <c r="M21" s="16">
        <f>IF(OR(J21="",K21="",L21=""),"",J21+K21+L21)</f>
        <v/>
      </c>
      <c r="N21" s="11" t="inlineStr">
        <is>
          <t>Secondary</t>
        </is>
      </c>
      <c r="O21" s="12" t="inlineStr">
        <is>
          <t>/ai-cost-tracking</t>
        </is>
      </c>
      <c r="P21" s="12" t="inlineStr">
        <is>
          <t>Interactive guide</t>
        </is>
      </c>
      <c r="Q21" s="14" t="n"/>
      <c r="R21" s="14" t="n"/>
      <c r="S21" s="14" t="n"/>
      <c r="T21" s="12" t="inlineStr">
        <is>
          <t>Not started</t>
        </is>
      </c>
      <c r="U21" s="12" t="inlineStr"/>
    </row>
    <row r="22">
      <c r="A22" s="11" t="n">
        <v>21</v>
      </c>
      <c r="B22" s="12" t="inlineStr">
        <is>
          <t>ai tool spend per developer</t>
        </is>
      </c>
      <c r="C22" s="11" t="inlineStr">
        <is>
          <t>SEO</t>
        </is>
      </c>
      <c r="D22" s="12" t="inlineStr">
        <is>
          <t>Product guide</t>
        </is>
      </c>
      <c r="E22" s="12" t="inlineStr">
        <is>
          <t>Cost</t>
        </is>
      </c>
      <c r="F22" s="13" t="n"/>
      <c r="G22" s="13" t="n"/>
      <c r="H22" s="14" t="n"/>
      <c r="I22" s="12" t="inlineStr">
        <is>
          <t>Commercial</t>
        </is>
      </c>
      <c r="J22" s="15" t="n">
        <v>3</v>
      </c>
      <c r="K22" s="16">
        <f>IF(I22="","",IF(I22="Transactional",3,IF(I22="Commercial",2,1)))</f>
        <v/>
      </c>
      <c r="L22" s="16">
        <f>IF(G22="","",IF(G22&lt;=20,3,IF(G22&lt;=50,2,1)))</f>
        <v/>
      </c>
      <c r="M22" s="16">
        <f>IF(OR(J22="",K22="",L22=""),"",J22+K22+L22)</f>
        <v/>
      </c>
      <c r="N22" s="11" t="inlineStr">
        <is>
          <t>Secondary</t>
        </is>
      </c>
      <c r="O22" s="12" t="inlineStr">
        <is>
          <t>/ai-cost-tracking</t>
        </is>
      </c>
      <c r="P22" s="12" t="inlineStr">
        <is>
          <t>Interactive guide</t>
        </is>
      </c>
      <c r="Q22" s="14" t="n"/>
      <c r="R22" s="14" t="n"/>
      <c r="S22" s="14" t="n"/>
      <c r="T22" s="12" t="inlineStr">
        <is>
          <t>Not started</t>
        </is>
      </c>
      <c r="U22" s="12" t="inlineStr"/>
    </row>
    <row r="23">
      <c r="A23" s="11" t="n">
        <v>22</v>
      </c>
      <c r="B23" s="12" t="inlineStr">
        <is>
          <t>ai coding cost per developer</t>
        </is>
      </c>
      <c r="C23" s="11" t="inlineStr">
        <is>
          <t>SEO</t>
        </is>
      </c>
      <c r="D23" s="12" t="inlineStr">
        <is>
          <t>Product guide</t>
        </is>
      </c>
      <c r="E23" s="12" t="inlineStr">
        <is>
          <t>Cost</t>
        </is>
      </c>
      <c r="F23" s="13" t="n"/>
      <c r="G23" s="13" t="n"/>
      <c r="H23" s="14" t="n"/>
      <c r="I23" s="12" t="inlineStr">
        <is>
          <t>Commercial</t>
        </is>
      </c>
      <c r="J23" s="15" t="n">
        <v>3</v>
      </c>
      <c r="K23" s="16">
        <f>IF(I23="","",IF(I23="Transactional",3,IF(I23="Commercial",2,1)))</f>
        <v/>
      </c>
      <c r="L23" s="16">
        <f>IF(G23="","",IF(G23&lt;=20,3,IF(G23&lt;=50,2,1)))</f>
        <v/>
      </c>
      <c r="M23" s="16">
        <f>IF(OR(J23="",K23="",L23=""),"",J23+K23+L23)</f>
        <v/>
      </c>
      <c r="N23" s="11" t="inlineStr">
        <is>
          <t>Secondary</t>
        </is>
      </c>
      <c r="O23" s="12" t="inlineStr">
        <is>
          <t>/ai-cost-tracking</t>
        </is>
      </c>
      <c r="P23" s="12" t="inlineStr">
        <is>
          <t>Interactive guide</t>
        </is>
      </c>
      <c r="Q23" s="14" t="n"/>
      <c r="R23" s="14" t="n"/>
      <c r="S23" s="14" t="n"/>
      <c r="T23" s="12" t="inlineStr">
        <is>
          <t>Not started</t>
        </is>
      </c>
      <c r="U23" s="12" t="inlineStr"/>
    </row>
    <row r="24">
      <c r="A24" s="11" t="n">
        <v>23</v>
      </c>
      <c r="B24" s="12" t="inlineStr">
        <is>
          <t>ai cost per project</t>
        </is>
      </c>
      <c r="C24" s="11" t="inlineStr">
        <is>
          <t>SEO</t>
        </is>
      </c>
      <c r="D24" s="12" t="inlineStr">
        <is>
          <t>Product guide</t>
        </is>
      </c>
      <c r="E24" s="12" t="inlineStr">
        <is>
          <t>Cost</t>
        </is>
      </c>
      <c r="F24" s="13" t="n"/>
      <c r="G24" s="13" t="n"/>
      <c r="H24" s="14" t="n"/>
      <c r="I24" s="12" t="inlineStr">
        <is>
          <t>Commercial</t>
        </is>
      </c>
      <c r="J24" s="15" t="n">
        <v>3</v>
      </c>
      <c r="K24" s="16">
        <f>IF(I24="","",IF(I24="Transactional",3,IF(I24="Commercial",2,1)))</f>
        <v/>
      </c>
      <c r="L24" s="16">
        <f>IF(G24="","",IF(G24&lt;=20,3,IF(G24&lt;=50,2,1)))</f>
        <v/>
      </c>
      <c r="M24" s="16">
        <f>IF(OR(J24="",K24="",L24=""),"",J24+K24+L24)</f>
        <v/>
      </c>
      <c r="N24" s="11" t="inlineStr">
        <is>
          <t>Secondary</t>
        </is>
      </c>
      <c r="O24" s="12" t="inlineStr">
        <is>
          <t>/ai-cost-tracking</t>
        </is>
      </c>
      <c r="P24" s="12" t="inlineStr">
        <is>
          <t>Interactive guide</t>
        </is>
      </c>
      <c r="Q24" s="14" t="n"/>
      <c r="R24" s="14" t="n"/>
      <c r="S24" s="14" t="n"/>
      <c r="T24" s="12" t="inlineStr">
        <is>
          <t>Not started</t>
        </is>
      </c>
      <c r="U24" s="12" t="inlineStr"/>
    </row>
    <row r="25">
      <c r="A25" s="11" t="n">
        <v>24</v>
      </c>
      <c r="B25" s="12" t="inlineStr">
        <is>
          <t>token usage monitoring</t>
        </is>
      </c>
      <c r="C25" s="11" t="inlineStr">
        <is>
          <t>SEO</t>
        </is>
      </c>
      <c r="D25" s="12" t="inlineStr">
        <is>
          <t>Product guide</t>
        </is>
      </c>
      <c r="E25" s="12" t="inlineStr">
        <is>
          <t>Cost</t>
        </is>
      </c>
      <c r="F25" s="13" t="n"/>
      <c r="G25" s="13" t="n"/>
      <c r="H25" s="14" t="n"/>
      <c r="I25" s="12" t="inlineStr">
        <is>
          <t>Commercial</t>
        </is>
      </c>
      <c r="J25" s="15" t="n">
        <v>3</v>
      </c>
      <c r="K25" s="16">
        <f>IF(I25="","",IF(I25="Transactional",3,IF(I25="Commercial",2,1)))</f>
        <v/>
      </c>
      <c r="L25" s="16">
        <f>IF(G25="","",IF(G25&lt;=20,3,IF(G25&lt;=50,2,1)))</f>
        <v/>
      </c>
      <c r="M25" s="16">
        <f>IF(OR(J25="",K25="",L25=""),"",J25+K25+L25)</f>
        <v/>
      </c>
      <c r="N25" s="11" t="inlineStr">
        <is>
          <t>Secondary</t>
        </is>
      </c>
      <c r="O25" s="12" t="inlineStr">
        <is>
          <t>/ai-cost-tracking</t>
        </is>
      </c>
      <c r="P25" s="12" t="inlineStr">
        <is>
          <t>Interactive guide</t>
        </is>
      </c>
      <c r="Q25" s="14" t="n"/>
      <c r="R25" s="14" t="n"/>
      <c r="S25" s="14" t="n"/>
      <c r="T25" s="12" t="inlineStr">
        <is>
          <t>Not started</t>
        </is>
      </c>
      <c r="U25" s="12" t="inlineStr"/>
    </row>
    <row r="26">
      <c r="A26" s="11" t="n">
        <v>25</v>
      </c>
      <c r="B26" s="12" t="inlineStr">
        <is>
          <t>token usage per developer</t>
        </is>
      </c>
      <c r="C26" s="11" t="inlineStr">
        <is>
          <t>SEO</t>
        </is>
      </c>
      <c r="D26" s="12" t="inlineStr">
        <is>
          <t>Product guide</t>
        </is>
      </c>
      <c r="E26" s="12" t="inlineStr">
        <is>
          <t>Cost</t>
        </is>
      </c>
      <c r="F26" s="13" t="n"/>
      <c r="G26" s="13" t="n"/>
      <c r="H26" s="14" t="n"/>
      <c r="I26" s="12" t="inlineStr">
        <is>
          <t>Commercial</t>
        </is>
      </c>
      <c r="J26" s="15" t="n">
        <v>3</v>
      </c>
      <c r="K26" s="16">
        <f>IF(I26="","",IF(I26="Transactional",3,IF(I26="Commercial",2,1)))</f>
        <v/>
      </c>
      <c r="L26" s="16">
        <f>IF(G26="","",IF(G26&lt;=20,3,IF(G26&lt;=50,2,1)))</f>
        <v/>
      </c>
      <c r="M26" s="16">
        <f>IF(OR(J26="",K26="",L26=""),"",J26+K26+L26)</f>
        <v/>
      </c>
      <c r="N26" s="11" t="inlineStr">
        <is>
          <t>Secondary</t>
        </is>
      </c>
      <c r="O26" s="12" t="inlineStr">
        <is>
          <t>/ai-cost-tracking</t>
        </is>
      </c>
      <c r="P26" s="12" t="inlineStr">
        <is>
          <t>Interactive guide</t>
        </is>
      </c>
      <c r="Q26" s="14" t="n"/>
      <c r="R26" s="14" t="n"/>
      <c r="S26" s="14" t="n"/>
      <c r="T26" s="12" t="inlineStr">
        <is>
          <t>Not started</t>
        </is>
      </c>
      <c r="U26" s="12" t="inlineStr"/>
    </row>
    <row r="27">
      <c r="A27" s="11" t="n">
        <v>26</v>
      </c>
      <c r="B27" s="12" t="inlineStr">
        <is>
          <t>track llm token usage by team</t>
        </is>
      </c>
      <c r="C27" s="11" t="inlineStr">
        <is>
          <t>SEO</t>
        </is>
      </c>
      <c r="D27" s="12" t="inlineStr">
        <is>
          <t>Product guide</t>
        </is>
      </c>
      <c r="E27" s="12" t="inlineStr">
        <is>
          <t>Cost</t>
        </is>
      </c>
      <c r="F27" s="13" t="n"/>
      <c r="G27" s="13" t="n"/>
      <c r="H27" s="14" t="n"/>
      <c r="I27" s="12" t="inlineStr">
        <is>
          <t>Commercial</t>
        </is>
      </c>
      <c r="J27" s="15" t="n">
        <v>3</v>
      </c>
      <c r="K27" s="16">
        <f>IF(I27="","",IF(I27="Transactional",3,IF(I27="Commercial",2,1)))</f>
        <v/>
      </c>
      <c r="L27" s="16">
        <f>IF(G27="","",IF(G27&lt;=20,3,IF(G27&lt;=50,2,1)))</f>
        <v/>
      </c>
      <c r="M27" s="16">
        <f>IF(OR(J27="",K27="",L27=""),"",J27+K27+L27)</f>
        <v/>
      </c>
      <c r="N27" s="11" t="inlineStr">
        <is>
          <t>Secondary</t>
        </is>
      </c>
      <c r="O27" s="12" t="inlineStr">
        <is>
          <t>/ai-cost-tracking</t>
        </is>
      </c>
      <c r="P27" s="12" t="inlineStr">
        <is>
          <t>Interactive guide</t>
        </is>
      </c>
      <c r="Q27" s="14" t="n"/>
      <c r="R27" s="14" t="n"/>
      <c r="S27" s="14" t="n"/>
      <c r="T27" s="12" t="inlineStr">
        <is>
          <t>Not started</t>
        </is>
      </c>
      <c r="U27" s="12" t="inlineStr"/>
    </row>
    <row r="28">
      <c r="A28" s="11" t="n">
        <v>27</v>
      </c>
      <c r="B28" s="12" t="inlineStr">
        <is>
          <t>measure roi of ai coding tools</t>
        </is>
      </c>
      <c r="C28" s="11" t="inlineStr">
        <is>
          <t>SEO</t>
        </is>
      </c>
      <c r="D28" s="12" t="inlineStr">
        <is>
          <t>Product guide</t>
        </is>
      </c>
      <c r="E28" s="12" t="inlineStr">
        <is>
          <t>Cost</t>
        </is>
      </c>
      <c r="F28" s="13" t="n"/>
      <c r="G28" s="13" t="n"/>
      <c r="H28" s="14" t="n"/>
      <c r="I28" s="12" t="inlineStr">
        <is>
          <t>Informational</t>
        </is>
      </c>
      <c r="J28" s="15" t="n">
        <v>2</v>
      </c>
      <c r="K28" s="16">
        <f>IF(I28="","",IF(I28="Transactional",3,IF(I28="Commercial",2,1)))</f>
        <v/>
      </c>
      <c r="L28" s="16">
        <f>IF(G28="","",IF(G28&lt;=20,3,IF(G28&lt;=50,2,1)))</f>
        <v/>
      </c>
      <c r="M28" s="16">
        <f>IF(OR(J28="",K28="",L28=""),"",J28+K28+L28)</f>
        <v/>
      </c>
      <c r="N28" s="11" t="inlineStr">
        <is>
          <t>Main</t>
        </is>
      </c>
      <c r="O28" s="12" t="inlineStr">
        <is>
          <t>/blog/ai-coding-roi</t>
        </is>
      </c>
      <c r="P28" s="12" t="inlineStr">
        <is>
          <t>Interactive guide</t>
        </is>
      </c>
      <c r="Q28" s="14" t="inlineStr">
        <is>
          <t>1 getdx.com (ROI calculator) · 2 LinkedIn article (Mamoon Chowdry) · 3 ibm.com (case study) · 4 jellyfish.co · 5 pensero.ai. Checked 20 Oct 2026</t>
        </is>
      </c>
      <c r="R28" s="14" t="n"/>
      <c r="S28" s="14" t="inlineStr">
        <is>
          <t>#1 is a calculator, the rest are measurement frameworks. Ours: interactive guide + ROI calculator with shareable inputs; replace guessed inputs with measured cost and usage</t>
        </is>
      </c>
      <c r="T28" s="12" t="inlineStr">
        <is>
          <t>Not started</t>
        </is>
      </c>
      <c r="U28" s="12" t="inlineStr">
        <is>
          <t>Cost &amp; ROI page is switched off; link to /ai-cost-tracking</t>
        </is>
      </c>
    </row>
    <row r="29">
      <c r="A29" s="11" t="n">
        <v>28</v>
      </c>
      <c r="B29" s="12" t="inlineStr">
        <is>
          <t>ai coding roi</t>
        </is>
      </c>
      <c r="C29" s="11" t="inlineStr">
        <is>
          <t>SEO</t>
        </is>
      </c>
      <c r="D29" s="12" t="inlineStr">
        <is>
          <t>Product guide</t>
        </is>
      </c>
      <c r="E29" s="12" t="inlineStr">
        <is>
          <t>Cost</t>
        </is>
      </c>
      <c r="F29" s="13" t="n"/>
      <c r="G29" s="13" t="n"/>
      <c r="H29" s="14" t="n"/>
      <c r="I29" s="12" t="inlineStr">
        <is>
          <t>Informational</t>
        </is>
      </c>
      <c r="J29" s="15" t="n">
        <v>2</v>
      </c>
      <c r="K29" s="16">
        <f>IF(I29="","",IF(I29="Transactional",3,IF(I29="Commercial",2,1)))</f>
        <v/>
      </c>
      <c r="L29" s="16">
        <f>IF(G29="","",IF(G29&lt;=20,3,IF(G29&lt;=50,2,1)))</f>
        <v/>
      </c>
      <c r="M29" s="16">
        <f>IF(OR(J29="",K29="",L29=""),"",J29+K29+L29)</f>
        <v/>
      </c>
      <c r="N29" s="11" t="inlineStr">
        <is>
          <t>Secondary</t>
        </is>
      </c>
      <c r="O29" s="12" t="inlineStr">
        <is>
          <t>/blog/ai-coding-roi</t>
        </is>
      </c>
      <c r="P29" s="12" t="inlineStr">
        <is>
          <t>Interactive guide</t>
        </is>
      </c>
      <c r="Q29" s="14" t="n"/>
      <c r="R29" s="14" t="n"/>
      <c r="S29" s="14" t="n"/>
      <c r="T29" s="12" t="inlineStr">
        <is>
          <t>Not started</t>
        </is>
      </c>
      <c r="U29" s="12" t="inlineStr"/>
    </row>
    <row r="30">
      <c r="A30" s="11" t="n">
        <v>29</v>
      </c>
      <c r="B30" s="12" t="inlineStr">
        <is>
          <t>claude code usage limits</t>
        </is>
      </c>
      <c r="C30" s="11" t="inlineStr">
        <is>
          <t>SEO</t>
        </is>
      </c>
      <c r="D30" s="12" t="inlineStr">
        <is>
          <t>Product guide</t>
        </is>
      </c>
      <c r="E30" s="12" t="inlineStr">
        <is>
          <t>Limits</t>
        </is>
      </c>
      <c r="F30" s="13" t="n"/>
      <c r="G30" s="13" t="n"/>
      <c r="H30" s="14" t="n"/>
      <c r="I30" s="12" t="inlineStr">
        <is>
          <t>Informational</t>
        </is>
      </c>
      <c r="J30" s="15" t="n">
        <v>3</v>
      </c>
      <c r="K30" s="16">
        <f>IF(I30="","",IF(I30="Transactional",3,IF(I30="Commercial",2,1)))</f>
        <v/>
      </c>
      <c r="L30" s="16">
        <f>IF(G30="","",IF(G30&lt;=20,3,IF(G30&lt;=50,2,1)))</f>
        <v/>
      </c>
      <c r="M30" s="16">
        <f>IF(OR(J30="",K30="",L30=""),"",J30+K30+L30)</f>
        <v/>
      </c>
      <c r="N30" s="11" t="inlineStr">
        <is>
          <t>Main</t>
        </is>
      </c>
      <c r="O30" s="12" t="inlineStr">
        <is>
          <t>/claude-code-usage-limits</t>
        </is>
      </c>
      <c r="P30" s="12" t="inlineStr">
        <is>
          <t>Interactive guide</t>
        </is>
      </c>
      <c r="Q30" s="14" t="inlineStr">
        <is>
          <t>1 support.claude.com (official article) · 2 truefoundry.com (blog) · 3 Reddit r/ClaudeCode (user story) · 4 fast.io (guide) · 5 claudelog.com. All text. Checked 20 Oct 2026</t>
        </is>
      </c>
      <c r="R30" s="14" t="n"/>
      <c r="S30" s="14" t="inlineStr">
        <is>
          <t>Results explain the rules but none show what your own usage means. Ours: plan picker, reset-window timeline, 'what uses your limit fastest' meter, limit simulator, 'hit my limit' decision tree, tips with real Reddit/HN quotes; team view links to /plan-headroom</t>
        </is>
      </c>
      <c r="T30" s="12" t="inlineStr">
        <is>
          <t>Not started</t>
        </is>
      </c>
      <c r="U30" s="12" t="inlineStr"/>
    </row>
    <row r="31">
      <c r="A31" s="11" t="n">
        <v>30</v>
      </c>
      <c r="B31" s="12" t="inlineStr">
        <is>
          <t>claude usage limit</t>
        </is>
      </c>
      <c r="C31" s="11" t="inlineStr">
        <is>
          <t>SEO</t>
        </is>
      </c>
      <c r="D31" s="12" t="inlineStr">
        <is>
          <t>Product guide</t>
        </is>
      </c>
      <c r="E31" s="12" t="inlineStr">
        <is>
          <t>Limits</t>
        </is>
      </c>
      <c r="F31" s="13" t="n"/>
      <c r="G31" s="13" t="n"/>
      <c r="H31" s="14" t="n"/>
      <c r="I31" s="12" t="inlineStr">
        <is>
          <t>Informational</t>
        </is>
      </c>
      <c r="J31" s="15" t="n">
        <v>2</v>
      </c>
      <c r="K31" s="16">
        <f>IF(I31="","",IF(I31="Transactional",3,IF(I31="Commercial",2,1)))</f>
        <v/>
      </c>
      <c r="L31" s="16">
        <f>IF(G31="","",IF(G31&lt;=20,3,IF(G31&lt;=50,2,1)))</f>
        <v/>
      </c>
      <c r="M31" s="16">
        <f>IF(OR(J31="",K31="",L31=""),"",J31+K31+L31)</f>
        <v/>
      </c>
      <c r="N31" s="11" t="inlineStr">
        <is>
          <t>Secondary</t>
        </is>
      </c>
      <c r="O31" s="12" t="inlineStr">
        <is>
          <t>/claude-code-usage-limits</t>
        </is>
      </c>
      <c r="P31" s="12" t="inlineStr">
        <is>
          <t>Interactive guide</t>
        </is>
      </c>
      <c r="Q31" s="14" t="n"/>
      <c r="R31" s="14" t="n"/>
      <c r="S31" s="14" t="n"/>
      <c r="T31" s="12" t="inlineStr">
        <is>
          <t>Not started</t>
        </is>
      </c>
      <c r="U31" s="12" t="inlineStr"/>
    </row>
    <row r="32">
      <c r="A32" s="11" t="n">
        <v>31</v>
      </c>
      <c r="B32" s="12" t="inlineStr">
        <is>
          <t>claude weekly limit</t>
        </is>
      </c>
      <c r="C32" s="11" t="inlineStr">
        <is>
          <t>SEO</t>
        </is>
      </c>
      <c r="D32" s="12" t="inlineStr">
        <is>
          <t>Product guide</t>
        </is>
      </c>
      <c r="E32" s="12" t="inlineStr">
        <is>
          <t>Limits</t>
        </is>
      </c>
      <c r="F32" s="13" t="n"/>
      <c r="G32" s="13" t="n"/>
      <c r="H32" s="14" t="n"/>
      <c r="I32" s="12" t="inlineStr">
        <is>
          <t>Informational</t>
        </is>
      </c>
      <c r="J32" s="15" t="n">
        <v>2</v>
      </c>
      <c r="K32" s="16">
        <f>IF(I32="","",IF(I32="Transactional",3,IF(I32="Commercial",2,1)))</f>
        <v/>
      </c>
      <c r="L32" s="16">
        <f>IF(G32="","",IF(G32&lt;=20,3,IF(G32&lt;=50,2,1)))</f>
        <v/>
      </c>
      <c r="M32" s="16">
        <f>IF(OR(J32="",K32="",L32=""),"",J32+K32+L32)</f>
        <v/>
      </c>
      <c r="N32" s="11" t="inlineStr">
        <is>
          <t>Secondary</t>
        </is>
      </c>
      <c r="O32" s="12" t="inlineStr">
        <is>
          <t>/claude-code-usage-limits</t>
        </is>
      </c>
      <c r="P32" s="12" t="inlineStr">
        <is>
          <t>Interactive guide</t>
        </is>
      </c>
      <c r="Q32" s="14" t="n"/>
      <c r="R32" s="14" t="n"/>
      <c r="S32" s="14" t="n"/>
      <c r="T32" s="12" t="inlineStr">
        <is>
          <t>Not started</t>
        </is>
      </c>
      <c r="U32" s="12" t="inlineStr"/>
    </row>
    <row r="33">
      <c r="A33" s="11" t="n">
        <v>32</v>
      </c>
      <c r="B33" s="12" t="inlineStr">
        <is>
          <t>claude 5 hour limit</t>
        </is>
      </c>
      <c r="C33" s="11" t="inlineStr">
        <is>
          <t>SEO</t>
        </is>
      </c>
      <c r="D33" s="12" t="inlineStr">
        <is>
          <t>Product guide</t>
        </is>
      </c>
      <c r="E33" s="12" t="inlineStr">
        <is>
          <t>Limits</t>
        </is>
      </c>
      <c r="F33" s="13" t="n"/>
      <c r="G33" s="13" t="n"/>
      <c r="H33" s="14" t="n"/>
      <c r="I33" s="12" t="inlineStr">
        <is>
          <t>Informational</t>
        </is>
      </c>
      <c r="J33" s="15" t="n">
        <v>2</v>
      </c>
      <c r="K33" s="16">
        <f>IF(I33="","",IF(I33="Transactional",3,IF(I33="Commercial",2,1)))</f>
        <v/>
      </c>
      <c r="L33" s="16">
        <f>IF(G33="","",IF(G33&lt;=20,3,IF(G33&lt;=50,2,1)))</f>
        <v/>
      </c>
      <c r="M33" s="16">
        <f>IF(OR(J33="",K33="",L33=""),"",J33+K33+L33)</f>
        <v/>
      </c>
      <c r="N33" s="11" t="inlineStr">
        <is>
          <t>Secondary</t>
        </is>
      </c>
      <c r="O33" s="12" t="inlineStr">
        <is>
          <t>/claude-code-usage-limits</t>
        </is>
      </c>
      <c r="P33" s="12" t="inlineStr">
        <is>
          <t>Interactive guide</t>
        </is>
      </c>
      <c r="Q33" s="14" t="n"/>
      <c r="R33" s="14" t="n"/>
      <c r="S33" s="14" t="n"/>
      <c r="T33" s="12" t="inlineStr">
        <is>
          <t>Not started</t>
        </is>
      </c>
      <c r="U33" s="12" t="inlineStr"/>
    </row>
    <row r="34">
      <c r="A34" s="11" t="n">
        <v>33</v>
      </c>
      <c r="B34" s="12" t="inlineStr">
        <is>
          <t>avoid hitting claude limit</t>
        </is>
      </c>
      <c r="C34" s="11" t="inlineStr">
        <is>
          <t>SEO</t>
        </is>
      </c>
      <c r="D34" s="12" t="inlineStr">
        <is>
          <t>Product guide</t>
        </is>
      </c>
      <c r="E34" s="12" t="inlineStr">
        <is>
          <t>Limits</t>
        </is>
      </c>
      <c r="F34" s="13" t="n"/>
      <c r="G34" s="13" t="n"/>
      <c r="H34" s="14" t="n"/>
      <c r="I34" s="12" t="inlineStr">
        <is>
          <t>Informational</t>
        </is>
      </c>
      <c r="J34" s="15" t="n">
        <v>3</v>
      </c>
      <c r="K34" s="16">
        <f>IF(I34="","",IF(I34="Transactional",3,IF(I34="Commercial",2,1)))</f>
        <v/>
      </c>
      <c r="L34" s="16">
        <f>IF(G34="","",IF(G34&lt;=20,3,IF(G34&lt;=50,2,1)))</f>
        <v/>
      </c>
      <c r="M34" s="16">
        <f>IF(OR(J34="",K34="",L34=""),"",J34+K34+L34)</f>
        <v/>
      </c>
      <c r="N34" s="11" t="inlineStr">
        <is>
          <t>Secondary</t>
        </is>
      </c>
      <c r="O34" s="12" t="inlineStr">
        <is>
          <t>/claude-code-usage-limits</t>
        </is>
      </c>
      <c r="P34" s="12" t="inlineStr">
        <is>
          <t>Interactive guide</t>
        </is>
      </c>
      <c r="Q34" s="14" t="n"/>
      <c r="R34" s="14" t="n"/>
      <c r="S34" s="14" t="n"/>
      <c r="T34" s="12" t="inlineStr">
        <is>
          <t>Not started</t>
        </is>
      </c>
      <c r="U34" s="12" t="inlineStr"/>
    </row>
    <row r="35">
      <c r="A35" s="11" t="n">
        <v>34</v>
      </c>
      <c r="B35" s="12" t="inlineStr">
        <is>
          <t>claude code rate limits team</t>
        </is>
      </c>
      <c r="C35" s="11" t="inlineStr">
        <is>
          <t>SEO</t>
        </is>
      </c>
      <c r="D35" s="12" t="inlineStr">
        <is>
          <t>Product guide</t>
        </is>
      </c>
      <c r="E35" s="12" t="inlineStr">
        <is>
          <t>Limits</t>
        </is>
      </c>
      <c r="F35" s="13" t="n"/>
      <c r="G35" s="13" t="n"/>
      <c r="H35" s="14" t="n"/>
      <c r="I35" s="12" t="inlineStr">
        <is>
          <t>Commercial</t>
        </is>
      </c>
      <c r="J35" s="15" t="n">
        <v>3</v>
      </c>
      <c r="K35" s="16">
        <f>IF(I35="","",IF(I35="Transactional",3,IF(I35="Commercial",2,1)))</f>
        <v/>
      </c>
      <c r="L35" s="16">
        <f>IF(G35="","",IF(G35&lt;=20,3,IF(G35&lt;=50,2,1)))</f>
        <v/>
      </c>
      <c r="M35" s="16">
        <f>IF(OR(J35="",K35="",L35=""),"",J35+K35+L35)</f>
        <v/>
      </c>
      <c r="N35" s="11" t="inlineStr">
        <is>
          <t>Secondary</t>
        </is>
      </c>
      <c r="O35" s="12" t="inlineStr">
        <is>
          <t>/plan-headroom</t>
        </is>
      </c>
      <c r="P35" s="12" t="inlineStr">
        <is>
          <t>Feature</t>
        </is>
      </c>
      <c r="Q35" s="14" t="n"/>
      <c r="R35" s="14" t="n"/>
      <c r="S35" s="14" t="n"/>
      <c r="T35" s="12" t="inlineStr">
        <is>
          <t>Not started</t>
        </is>
      </c>
      <c r="U35" s="12" t="inlineStr"/>
    </row>
    <row r="36">
      <c r="A36" s="11" t="n">
        <v>35</v>
      </c>
      <c r="B36" s="12" t="inlineStr">
        <is>
          <t>monitor claude plan usage team</t>
        </is>
      </c>
      <c r="C36" s="11" t="inlineStr">
        <is>
          <t>SEO</t>
        </is>
      </c>
      <c r="D36" s="12" t="inlineStr">
        <is>
          <t>Product guide</t>
        </is>
      </c>
      <c r="E36" s="12" t="inlineStr">
        <is>
          <t>Limits</t>
        </is>
      </c>
      <c r="F36" s="13" t="n"/>
      <c r="G36" s="13" t="n"/>
      <c r="H36" s="14" t="n"/>
      <c r="I36" s="12" t="inlineStr">
        <is>
          <t>Commercial</t>
        </is>
      </c>
      <c r="J36" s="15" t="n">
        <v>3</v>
      </c>
      <c r="K36" s="16">
        <f>IF(I36="","",IF(I36="Transactional",3,IF(I36="Commercial",2,1)))</f>
        <v/>
      </c>
      <c r="L36" s="16">
        <f>IF(G36="","",IF(G36&lt;=20,3,IF(G36&lt;=50,2,1)))</f>
        <v/>
      </c>
      <c r="M36" s="16">
        <f>IF(OR(J36="",K36="",L36=""),"",J36+K36+L36)</f>
        <v/>
      </c>
      <c r="N36" s="11" t="inlineStr">
        <is>
          <t>Secondary</t>
        </is>
      </c>
      <c r="O36" s="12" t="inlineStr">
        <is>
          <t>/plan-headroom</t>
        </is>
      </c>
      <c r="P36" s="12" t="inlineStr">
        <is>
          <t>Feature</t>
        </is>
      </c>
      <c r="Q36" s="14" t="n"/>
      <c r="R36" s="14" t="n"/>
      <c r="S36" s="14" t="n"/>
      <c r="T36" s="12" t="inlineStr">
        <is>
          <t>Not started</t>
        </is>
      </c>
      <c r="U36" s="12" t="inlineStr"/>
    </row>
    <row r="37">
      <c r="A37" s="11" t="n">
        <v>36</v>
      </c>
      <c r="B37" s="12" t="inlineStr">
        <is>
          <t>ai plan limits</t>
        </is>
      </c>
      <c r="C37" s="11" t="inlineStr">
        <is>
          <t>SEO</t>
        </is>
      </c>
      <c r="D37" s="12" t="inlineStr">
        <is>
          <t>Product guide</t>
        </is>
      </c>
      <c r="E37" s="12" t="inlineStr">
        <is>
          <t>Limits</t>
        </is>
      </c>
      <c r="F37" s="13" t="n"/>
      <c r="G37" s="13" t="n"/>
      <c r="H37" s="14" t="n"/>
      <c r="I37" s="12" t="inlineStr">
        <is>
          <t>Informational</t>
        </is>
      </c>
      <c r="J37" s="15" t="n">
        <v>2</v>
      </c>
      <c r="K37" s="16">
        <f>IF(I37="","",IF(I37="Transactional",3,IF(I37="Commercial",2,1)))</f>
        <v/>
      </c>
      <c r="L37" s="16">
        <f>IF(G37="","",IF(G37&lt;=20,3,IF(G37&lt;=50,2,1)))</f>
        <v/>
      </c>
      <c r="M37" s="16">
        <f>IF(OR(J37="",K37="",L37=""),"",J37+K37+L37)</f>
        <v/>
      </c>
      <c r="N37" s="11" t="inlineStr">
        <is>
          <t>Secondary</t>
        </is>
      </c>
      <c r="O37" s="12" t="inlineStr">
        <is>
          <t>/plan-headroom</t>
        </is>
      </c>
      <c r="P37" s="12" t="inlineStr">
        <is>
          <t>Feature</t>
        </is>
      </c>
      <c r="Q37" s="14" t="n"/>
      <c r="R37" s="14" t="n"/>
      <c r="S37" s="14" t="n"/>
      <c r="T37" s="12" t="inlineStr">
        <is>
          <t>Not started</t>
        </is>
      </c>
      <c r="U37" s="12" t="inlineStr"/>
    </row>
    <row r="38">
      <c r="A38" s="11" t="n">
        <v>37</v>
      </c>
      <c r="B38" s="12" t="inlineStr">
        <is>
          <t>shadow ai coding tools</t>
        </is>
      </c>
      <c r="C38" s="11" t="inlineStr">
        <is>
          <t>SEO</t>
        </is>
      </c>
      <c r="D38" s="12" t="inlineStr">
        <is>
          <t>Product guide</t>
        </is>
      </c>
      <c r="E38" s="12" t="inlineStr">
        <is>
          <t>Shadow AI &amp; Seats</t>
        </is>
      </c>
      <c r="F38" s="13" t="n"/>
      <c r="G38" s="13" t="n"/>
      <c r="H38" s="14" t="n"/>
      <c r="I38" s="12" t="inlineStr">
        <is>
          <t>Commercial</t>
        </is>
      </c>
      <c r="J38" s="15" t="n">
        <v>3</v>
      </c>
      <c r="K38" s="16">
        <f>IF(I38="","",IF(I38="Transactional",3,IF(I38="Commercial",2,1)))</f>
        <v/>
      </c>
      <c r="L38" s="16">
        <f>IF(G38="","",IF(G38&lt;=20,3,IF(G38&lt;=50,2,1)))</f>
        <v/>
      </c>
      <c r="M38" s="16">
        <f>IF(OR(J38="",K38="",L38=""),"",J38+K38+L38)</f>
        <v/>
      </c>
      <c r="N38" s="11" t="inlineStr">
        <is>
          <t>Main</t>
        </is>
      </c>
      <c r="O38" s="12" t="inlineStr">
        <is>
          <t>/shadow-ai</t>
        </is>
      </c>
      <c r="P38" s="12" t="inlineStr">
        <is>
          <t>Solution</t>
        </is>
      </c>
      <c r="Q38" s="14" t="n"/>
      <c r="R38" s="14" t="n"/>
      <c r="S38" s="14" t="n"/>
      <c r="T38" s="12" t="inlineStr">
        <is>
          <t>Not started</t>
        </is>
      </c>
      <c r="U38" s="12" t="inlineStr"/>
    </row>
    <row r="39">
      <c r="A39" s="11" t="n">
        <v>38</v>
      </c>
      <c r="B39" s="12" t="inlineStr">
        <is>
          <t>shadow ai</t>
        </is>
      </c>
      <c r="C39" s="11" t="inlineStr">
        <is>
          <t>SEO</t>
        </is>
      </c>
      <c r="D39" s="12" t="inlineStr">
        <is>
          <t>Product guide</t>
        </is>
      </c>
      <c r="E39" s="12" t="inlineStr">
        <is>
          <t>Shadow AI &amp; Seats</t>
        </is>
      </c>
      <c r="F39" s="13" t="n"/>
      <c r="G39" s="13" t="n"/>
      <c r="H39" s="14" t="n"/>
      <c r="I39" s="12" t="inlineStr">
        <is>
          <t>Informational</t>
        </is>
      </c>
      <c r="J39" s="15" t="n">
        <v>2</v>
      </c>
      <c r="K39" s="16">
        <f>IF(I39="","",IF(I39="Transactional",3,IF(I39="Commercial",2,1)))</f>
        <v/>
      </c>
      <c r="L39" s="16">
        <f>IF(G39="","",IF(G39&lt;=20,3,IF(G39&lt;=50,2,1)))</f>
        <v/>
      </c>
      <c r="M39" s="16">
        <f>IF(OR(J39="",K39="",L39=""),"",J39+K39+L39)</f>
        <v/>
      </c>
      <c r="N39" s="11" t="inlineStr">
        <is>
          <t>Secondary</t>
        </is>
      </c>
      <c r="O39" s="12" t="inlineStr">
        <is>
          <t>/shadow-ai</t>
        </is>
      </c>
      <c r="P39" s="12" t="inlineStr">
        <is>
          <t>Solution</t>
        </is>
      </c>
      <c r="Q39" s="14" t="n"/>
      <c r="R39" s="14" t="n"/>
      <c r="S39" s="14" t="n"/>
      <c r="T39" s="12" t="inlineStr">
        <is>
          <t>Not started</t>
        </is>
      </c>
      <c r="U39" s="12" t="inlineStr">
        <is>
          <t>Hard; security vendors rank</t>
        </is>
      </c>
    </row>
    <row r="40">
      <c r="A40" s="11" t="n">
        <v>39</v>
      </c>
      <c r="B40" s="12" t="inlineStr">
        <is>
          <t>detect ai tools used by developers</t>
        </is>
      </c>
      <c r="C40" s="11" t="inlineStr">
        <is>
          <t>SEO</t>
        </is>
      </c>
      <c r="D40" s="12" t="inlineStr">
        <is>
          <t>Product guide</t>
        </is>
      </c>
      <c r="E40" s="12" t="inlineStr">
        <is>
          <t>Shadow AI &amp; Seats</t>
        </is>
      </c>
      <c r="F40" s="13" t="n"/>
      <c r="G40" s="13" t="n"/>
      <c r="H40" s="14" t="n"/>
      <c r="I40" s="12" t="inlineStr">
        <is>
          <t>Commercial</t>
        </is>
      </c>
      <c r="J40" s="15" t="n">
        <v>3</v>
      </c>
      <c r="K40" s="16">
        <f>IF(I40="","",IF(I40="Transactional",3,IF(I40="Commercial",2,1)))</f>
        <v/>
      </c>
      <c r="L40" s="16">
        <f>IF(G40="","",IF(G40&lt;=20,3,IF(G40&lt;=50,2,1)))</f>
        <v/>
      </c>
      <c r="M40" s="16">
        <f>IF(OR(J40="",K40="",L40=""),"",J40+K40+L40)</f>
        <v/>
      </c>
      <c r="N40" s="11" t="inlineStr">
        <is>
          <t>Secondary</t>
        </is>
      </c>
      <c r="O40" s="12" t="inlineStr">
        <is>
          <t>/shadow-ai</t>
        </is>
      </c>
      <c r="P40" s="12" t="inlineStr">
        <is>
          <t>Solution</t>
        </is>
      </c>
      <c r="Q40" s="14" t="n"/>
      <c r="R40" s="14" t="n"/>
      <c r="S40" s="14" t="n"/>
      <c r="T40" s="12" t="inlineStr">
        <is>
          <t>Not started</t>
        </is>
      </c>
      <c r="U40" s="12" t="inlineStr"/>
    </row>
    <row r="41">
      <c r="A41" s="11" t="n">
        <v>40</v>
      </c>
      <c r="B41" s="12" t="inlineStr">
        <is>
          <t>ai seat utilisation</t>
        </is>
      </c>
      <c r="C41" s="11" t="inlineStr">
        <is>
          <t>SEO</t>
        </is>
      </c>
      <c r="D41" s="12" t="inlineStr">
        <is>
          <t>Product guide</t>
        </is>
      </c>
      <c r="E41" s="12" t="inlineStr">
        <is>
          <t>Shadow AI &amp; Seats</t>
        </is>
      </c>
      <c r="F41" s="13" t="n"/>
      <c r="G41" s="13" t="n"/>
      <c r="H41" s="14" t="n"/>
      <c r="I41" s="12" t="inlineStr">
        <is>
          <t>Commercial</t>
        </is>
      </c>
      <c r="J41" s="15" t="n">
        <v>3</v>
      </c>
      <c r="K41" s="16">
        <f>IF(I41="","",IF(I41="Transactional",3,IF(I41="Commercial",2,1)))</f>
        <v/>
      </c>
      <c r="L41" s="16">
        <f>IF(G41="","",IF(G41&lt;=20,3,IF(G41&lt;=50,2,1)))</f>
        <v/>
      </c>
      <c r="M41" s="16">
        <f>IF(OR(J41="",K41="",L41=""),"",J41+K41+L41)</f>
        <v/>
      </c>
      <c r="N41" s="11" t="inlineStr">
        <is>
          <t>Secondary</t>
        </is>
      </c>
      <c r="O41" s="12" t="inlineStr">
        <is>
          <t>/shadow-ai</t>
        </is>
      </c>
      <c r="P41" s="12" t="inlineStr">
        <is>
          <t>Solution</t>
        </is>
      </c>
      <c r="Q41" s="14" t="n"/>
      <c r="R41" s="14" t="n"/>
      <c r="S41" s="14" t="n"/>
      <c r="T41" s="12" t="inlineStr">
        <is>
          <t>Not started</t>
        </is>
      </c>
      <c r="U41" s="12" t="inlineStr">
        <is>
          <t>Also try US spelling: utilization</t>
        </is>
      </c>
    </row>
    <row r="42">
      <c r="A42" s="11" t="n">
        <v>41</v>
      </c>
      <c r="B42" s="12" t="inlineStr">
        <is>
          <t>ai license utilization</t>
        </is>
      </c>
      <c r="C42" s="11" t="inlineStr">
        <is>
          <t>SEO</t>
        </is>
      </c>
      <c r="D42" s="12" t="inlineStr">
        <is>
          <t>Product guide</t>
        </is>
      </c>
      <c r="E42" s="12" t="inlineStr">
        <is>
          <t>Shadow AI &amp; Seats</t>
        </is>
      </c>
      <c r="F42" s="13" t="n"/>
      <c r="G42" s="13" t="n"/>
      <c r="H42" s="14" t="n"/>
      <c r="I42" s="12" t="inlineStr">
        <is>
          <t>Commercial</t>
        </is>
      </c>
      <c r="J42" s="15" t="n">
        <v>3</v>
      </c>
      <c r="K42" s="16">
        <f>IF(I42="","",IF(I42="Transactional",3,IF(I42="Commercial",2,1)))</f>
        <v/>
      </c>
      <c r="L42" s="16">
        <f>IF(G42="","",IF(G42&lt;=20,3,IF(G42&lt;=50,2,1)))</f>
        <v/>
      </c>
      <c r="M42" s="16">
        <f>IF(OR(J42="",K42="",L42=""),"",J42+K42+L42)</f>
        <v/>
      </c>
      <c r="N42" s="11" t="inlineStr">
        <is>
          <t>Secondary</t>
        </is>
      </c>
      <c r="O42" s="12" t="inlineStr">
        <is>
          <t>/shadow-ai</t>
        </is>
      </c>
      <c r="P42" s="12" t="inlineStr">
        <is>
          <t>Solution</t>
        </is>
      </c>
      <c r="Q42" s="14" t="n"/>
      <c r="R42" s="14" t="n"/>
      <c r="S42" s="14" t="n"/>
      <c r="T42" s="12" t="inlineStr">
        <is>
          <t>Not started</t>
        </is>
      </c>
      <c r="U42" s="12" t="inlineStr"/>
    </row>
    <row r="43">
      <c r="A43" s="11" t="n">
        <v>42</v>
      </c>
      <c r="B43" s="12" t="inlineStr">
        <is>
          <t>shared ai tool accounts</t>
        </is>
      </c>
      <c r="C43" s="11" t="inlineStr">
        <is>
          <t>SEO</t>
        </is>
      </c>
      <c r="D43" s="12" t="inlineStr">
        <is>
          <t>Product guide</t>
        </is>
      </c>
      <c r="E43" s="12" t="inlineStr">
        <is>
          <t>Shadow AI &amp; Seats</t>
        </is>
      </c>
      <c r="F43" s="13" t="n"/>
      <c r="G43" s="13" t="n"/>
      <c r="H43" s="14" t="n"/>
      <c r="I43" s="12" t="inlineStr">
        <is>
          <t>Commercial</t>
        </is>
      </c>
      <c r="J43" s="15" t="n">
        <v>3</v>
      </c>
      <c r="K43" s="16">
        <f>IF(I43="","",IF(I43="Transactional",3,IF(I43="Commercial",2,1)))</f>
        <v/>
      </c>
      <c r="L43" s="16">
        <f>IF(G43="","",IF(G43&lt;=20,3,IF(G43&lt;=50,2,1)))</f>
        <v/>
      </c>
      <c r="M43" s="16">
        <f>IF(OR(J43="",K43="",L43=""),"",J43+K43+L43)</f>
        <v/>
      </c>
      <c r="N43" s="11" t="inlineStr">
        <is>
          <t>Secondary</t>
        </is>
      </c>
      <c r="O43" s="12" t="inlineStr">
        <is>
          <t>/shadow-ai</t>
        </is>
      </c>
      <c r="P43" s="12" t="inlineStr">
        <is>
          <t>Solution</t>
        </is>
      </c>
      <c r="Q43" s="14" t="n"/>
      <c r="R43" s="14" t="n"/>
      <c r="S43" s="14" t="n"/>
      <c r="T43" s="12" t="inlineStr">
        <is>
          <t>Not started</t>
        </is>
      </c>
      <c r="U43" s="12" t="inlineStr"/>
    </row>
    <row r="44">
      <c r="A44" s="11" t="n">
        <v>43</v>
      </c>
      <c r="B44" s="12" t="inlineStr">
        <is>
          <t>unused copilot seats</t>
        </is>
      </c>
      <c r="C44" s="11" t="inlineStr">
        <is>
          <t>SEO</t>
        </is>
      </c>
      <c r="D44" s="12" t="inlineStr">
        <is>
          <t>Product guide</t>
        </is>
      </c>
      <c r="E44" s="12" t="inlineStr">
        <is>
          <t>Shadow AI &amp; Seats</t>
        </is>
      </c>
      <c r="F44" s="13" t="n"/>
      <c r="G44" s="13" t="n"/>
      <c r="H44" s="14" t="n"/>
      <c r="I44" s="12" t="inlineStr">
        <is>
          <t>Commercial</t>
        </is>
      </c>
      <c r="J44" s="15" t="n">
        <v>3</v>
      </c>
      <c r="K44" s="16">
        <f>IF(I44="","",IF(I44="Transactional",3,IF(I44="Commercial",2,1)))</f>
        <v/>
      </c>
      <c r="L44" s="16">
        <f>IF(G44="","",IF(G44&lt;=20,3,IF(G44&lt;=50,2,1)))</f>
        <v/>
      </c>
      <c r="M44" s="16">
        <f>IF(OR(J44="",K44="",L44=""),"",J44+K44+L44)</f>
        <v/>
      </c>
      <c r="N44" s="11" t="inlineStr">
        <is>
          <t>Secondary</t>
        </is>
      </c>
      <c r="O44" s="12" t="inlineStr">
        <is>
          <t>/shadow-ai</t>
        </is>
      </c>
      <c r="P44" s="12" t="inlineStr">
        <is>
          <t>Solution</t>
        </is>
      </c>
      <c r="Q44" s="14" t="n"/>
      <c r="R44" s="14" t="n"/>
      <c r="S44" s="14" t="n"/>
      <c r="T44" s="12" t="inlineStr">
        <is>
          <t>Not started</t>
        </is>
      </c>
      <c r="U44" s="12" t="inlineStr"/>
    </row>
    <row r="45">
      <c r="A45" s="11" t="n">
        <v>44</v>
      </c>
      <c r="B45" s="12" t="inlineStr">
        <is>
          <t>secrets in ai coding prompts</t>
        </is>
      </c>
      <c r="C45" s="11" t="inlineStr">
        <is>
          <t>SEO</t>
        </is>
      </c>
      <c r="D45" s="12" t="inlineStr">
        <is>
          <t>Product guide</t>
        </is>
      </c>
      <c r="E45" s="12" t="inlineStr">
        <is>
          <t>Shadow AI &amp; Seats</t>
        </is>
      </c>
      <c r="F45" s="13" t="n"/>
      <c r="G45" s="13" t="n"/>
      <c r="H45" s="14" t="n"/>
      <c r="I45" s="12" t="inlineStr">
        <is>
          <t>Informational</t>
        </is>
      </c>
      <c r="J45" s="15" t="n">
        <v>2</v>
      </c>
      <c r="K45" s="16">
        <f>IF(I45="","",IF(I45="Transactional",3,IF(I45="Commercial",2,1)))</f>
        <v/>
      </c>
      <c r="L45" s="16">
        <f>IF(G45="","",IF(G45&lt;=20,3,IF(G45&lt;=50,2,1)))</f>
        <v/>
      </c>
      <c r="M45" s="16">
        <f>IF(OR(J45="",K45="",L45=""),"",J45+K45+L45)</f>
        <v/>
      </c>
      <c r="N45" s="11" t="inlineStr">
        <is>
          <t>Main</t>
        </is>
      </c>
      <c r="O45" s="12" t="inlineStr">
        <is>
          <t>/blog/secrets-in-ai-prompts</t>
        </is>
      </c>
      <c r="P45" s="12" t="inlineStr">
        <is>
          <t>Blog</t>
        </is>
      </c>
      <c r="Q45" s="14" t="n"/>
      <c r="R45" s="14" t="n"/>
      <c r="S45" s="14" t="n"/>
      <c r="T45" s="12" t="inlineStr">
        <is>
          <t>Not started</t>
        </is>
      </c>
      <c r="U45" s="12" t="inlineStr"/>
    </row>
    <row r="46">
      <c r="A46" s="11" t="n">
        <v>45</v>
      </c>
      <c r="B46" s="12" t="inlineStr">
        <is>
          <t>leaked credentials in ai chats</t>
        </is>
      </c>
      <c r="C46" s="11" t="inlineStr">
        <is>
          <t>SEO</t>
        </is>
      </c>
      <c r="D46" s="12" t="inlineStr">
        <is>
          <t>Product guide</t>
        </is>
      </c>
      <c r="E46" s="12" t="inlineStr">
        <is>
          <t>Shadow AI &amp; Seats</t>
        </is>
      </c>
      <c r="F46" s="13" t="n"/>
      <c r="G46" s="13" t="n"/>
      <c r="H46" s="14" t="n"/>
      <c r="I46" s="12" t="inlineStr">
        <is>
          <t>Informational</t>
        </is>
      </c>
      <c r="J46" s="15" t="n">
        <v>2</v>
      </c>
      <c r="K46" s="16">
        <f>IF(I46="","",IF(I46="Transactional",3,IF(I46="Commercial",2,1)))</f>
        <v/>
      </c>
      <c r="L46" s="16">
        <f>IF(G46="","",IF(G46&lt;=20,3,IF(G46&lt;=50,2,1)))</f>
        <v/>
      </c>
      <c r="M46" s="16">
        <f>IF(OR(J46="",K46="",L46=""),"",J46+K46+L46)</f>
        <v/>
      </c>
      <c r="N46" s="11" t="inlineStr">
        <is>
          <t>Secondary</t>
        </is>
      </c>
      <c r="O46" s="12" t="inlineStr">
        <is>
          <t>/blog/secrets-in-ai-prompts</t>
        </is>
      </c>
      <c r="P46" s="12" t="inlineStr">
        <is>
          <t>Blog</t>
        </is>
      </c>
      <c r="Q46" s="14" t="n"/>
      <c r="R46" s="14" t="n"/>
      <c r="S46" s="14" t="n"/>
      <c r="T46" s="12" t="inlineStr">
        <is>
          <t>Not started</t>
        </is>
      </c>
      <c r="U46" s="12" t="inlineStr"/>
    </row>
    <row r="47">
      <c r="A47" s="11" t="n">
        <v>46</v>
      </c>
      <c r="B47" s="12" t="inlineStr">
        <is>
          <t>self-hosted developer analytics</t>
        </is>
      </c>
      <c r="C47" s="11" t="inlineStr">
        <is>
          <t>SEO</t>
        </is>
      </c>
      <c r="D47" s="12" t="inlineStr">
        <is>
          <t>Product guide</t>
        </is>
      </c>
      <c r="E47" s="12" t="inlineStr">
        <is>
          <t>Privacy &amp; Self-hosted</t>
        </is>
      </c>
      <c r="F47" s="13" t="n"/>
      <c r="G47" s="13" t="n"/>
      <c r="H47" s="14" t="n"/>
      <c r="I47" s="12" t="inlineStr">
        <is>
          <t>Commercial</t>
        </is>
      </c>
      <c r="J47" s="15" t="n">
        <v>3</v>
      </c>
      <c r="K47" s="16">
        <f>IF(I47="","",IF(I47="Transactional",3,IF(I47="Commercial",2,1)))</f>
        <v/>
      </c>
      <c r="L47" s="16">
        <f>IF(G47="","",IF(G47&lt;=20,3,IF(G47&lt;=50,2,1)))</f>
        <v/>
      </c>
      <c r="M47" s="16">
        <f>IF(OR(J47="",K47="",L47=""),"",J47+K47+L47)</f>
        <v/>
      </c>
      <c r="N47" s="11" t="inlineStr">
        <is>
          <t>Main</t>
        </is>
      </c>
      <c r="O47" s="12" t="inlineStr">
        <is>
          <t>/self-hosted</t>
        </is>
      </c>
      <c r="P47" s="12" t="inlineStr">
        <is>
          <t>Trust</t>
        </is>
      </c>
      <c r="Q47" s="14" t="n"/>
      <c r="R47" s="14" t="n"/>
      <c r="S47" s="14" t="n"/>
      <c r="T47" s="12" t="inlineStr">
        <is>
          <t>Not started</t>
        </is>
      </c>
      <c r="U47" s="12" t="inlineStr"/>
    </row>
    <row r="48">
      <c r="A48" s="11" t="n">
        <v>47</v>
      </c>
      <c r="B48" s="12" t="inlineStr">
        <is>
          <t>self-hosted ai usage tracking</t>
        </is>
      </c>
      <c r="C48" s="11" t="inlineStr">
        <is>
          <t>SEO</t>
        </is>
      </c>
      <c r="D48" s="12" t="inlineStr">
        <is>
          <t>Product guide</t>
        </is>
      </c>
      <c r="E48" s="12" t="inlineStr">
        <is>
          <t>Privacy &amp; Self-hosted</t>
        </is>
      </c>
      <c r="F48" s="13" t="n"/>
      <c r="G48" s="13" t="n"/>
      <c r="H48" s="14" t="n"/>
      <c r="I48" s="12" t="inlineStr">
        <is>
          <t>Commercial</t>
        </is>
      </c>
      <c r="J48" s="15" t="n">
        <v>3</v>
      </c>
      <c r="K48" s="16">
        <f>IF(I48="","",IF(I48="Transactional",3,IF(I48="Commercial",2,1)))</f>
        <v/>
      </c>
      <c r="L48" s="16">
        <f>IF(G48="","",IF(G48&lt;=20,3,IF(G48&lt;=50,2,1)))</f>
        <v/>
      </c>
      <c r="M48" s="16">
        <f>IF(OR(J48="",K48="",L48=""),"",J48+K48+L48)</f>
        <v/>
      </c>
      <c r="N48" s="11" t="inlineStr">
        <is>
          <t>Secondary</t>
        </is>
      </c>
      <c r="O48" s="12" t="inlineStr">
        <is>
          <t>/self-hosted</t>
        </is>
      </c>
      <c r="P48" s="12" t="inlineStr">
        <is>
          <t>Trust</t>
        </is>
      </c>
      <c r="Q48" s="14" t="n"/>
      <c r="R48" s="14" t="n"/>
      <c r="S48" s="14" t="n"/>
      <c r="T48" s="12" t="inlineStr">
        <is>
          <t>Not started</t>
        </is>
      </c>
      <c r="U48" s="12" t="inlineStr"/>
    </row>
    <row r="49">
      <c r="A49" s="11" t="n">
        <v>48</v>
      </c>
      <c r="B49" s="12" t="inlineStr">
        <is>
          <t>on-premise developer productivity tool</t>
        </is>
      </c>
      <c r="C49" s="11" t="inlineStr">
        <is>
          <t>SEO</t>
        </is>
      </c>
      <c r="D49" s="12" t="inlineStr">
        <is>
          <t>Product guide</t>
        </is>
      </c>
      <c r="E49" s="12" t="inlineStr">
        <is>
          <t>Privacy &amp; Self-hosted</t>
        </is>
      </c>
      <c r="F49" s="13" t="n"/>
      <c r="G49" s="13" t="n"/>
      <c r="H49" s="14" t="n"/>
      <c r="I49" s="12" t="inlineStr">
        <is>
          <t>Commercial</t>
        </is>
      </c>
      <c r="J49" s="15" t="n">
        <v>3</v>
      </c>
      <c r="K49" s="16">
        <f>IF(I49="","",IF(I49="Transactional",3,IF(I49="Commercial",2,1)))</f>
        <v/>
      </c>
      <c r="L49" s="16">
        <f>IF(G49="","",IF(G49&lt;=20,3,IF(G49&lt;=50,2,1)))</f>
        <v/>
      </c>
      <c r="M49" s="16">
        <f>IF(OR(J49="",K49="",L49=""),"",J49+K49+L49)</f>
        <v/>
      </c>
      <c r="N49" s="11" t="inlineStr">
        <is>
          <t>Secondary</t>
        </is>
      </c>
      <c r="O49" s="12" t="inlineStr">
        <is>
          <t>/self-hosted</t>
        </is>
      </c>
      <c r="P49" s="12" t="inlineStr">
        <is>
          <t>Trust</t>
        </is>
      </c>
      <c r="Q49" s="14" t="n"/>
      <c r="R49" s="14" t="n"/>
      <c r="S49" s="14" t="n"/>
      <c r="T49" s="12" t="inlineStr">
        <is>
          <t>Not started</t>
        </is>
      </c>
      <c r="U49" s="12" t="inlineStr"/>
    </row>
    <row r="50">
      <c r="A50" s="11" t="n">
        <v>49</v>
      </c>
      <c r="B50" s="12" t="inlineStr">
        <is>
          <t>privacy-first developer analytics</t>
        </is>
      </c>
      <c r="C50" s="11" t="inlineStr">
        <is>
          <t>SEO</t>
        </is>
      </c>
      <c r="D50" s="12" t="inlineStr">
        <is>
          <t>Product guide</t>
        </is>
      </c>
      <c r="E50" s="12" t="inlineStr">
        <is>
          <t>Privacy &amp; Self-hosted</t>
        </is>
      </c>
      <c r="F50" s="13" t="n"/>
      <c r="G50" s="13" t="n"/>
      <c r="H50" s="14" t="n"/>
      <c r="I50" s="12" t="inlineStr">
        <is>
          <t>Commercial</t>
        </is>
      </c>
      <c r="J50" s="15" t="n">
        <v>3</v>
      </c>
      <c r="K50" s="16">
        <f>IF(I50="","",IF(I50="Transactional",3,IF(I50="Commercial",2,1)))</f>
        <v/>
      </c>
      <c r="L50" s="16">
        <f>IF(G50="","",IF(G50&lt;=20,3,IF(G50&lt;=50,2,1)))</f>
        <v/>
      </c>
      <c r="M50" s="16">
        <f>IF(OR(J50="",K50="",L50=""),"",J50+K50+L50)</f>
        <v/>
      </c>
      <c r="N50" s="11" t="inlineStr">
        <is>
          <t>Main</t>
        </is>
      </c>
      <c r="O50" s="12" t="inlineStr">
        <is>
          <t>/privacy</t>
        </is>
      </c>
      <c r="P50" s="12" t="inlineStr">
        <is>
          <t>Trust</t>
        </is>
      </c>
      <c r="Q50" s="14" t="n"/>
      <c r="R50" s="14" t="n"/>
      <c r="S50" s="14" t="n"/>
      <c r="T50" s="12" t="inlineStr">
        <is>
          <t>Not started</t>
        </is>
      </c>
      <c r="U50" s="12" t="inlineStr"/>
    </row>
    <row r="51">
      <c r="A51" s="11" t="n">
        <v>50</v>
      </c>
      <c r="B51" s="12" t="inlineStr">
        <is>
          <t>developer analytics without source code access</t>
        </is>
      </c>
      <c r="C51" s="11" t="inlineStr">
        <is>
          <t>SEO</t>
        </is>
      </c>
      <c r="D51" s="12" t="inlineStr">
        <is>
          <t>Product guide</t>
        </is>
      </c>
      <c r="E51" s="12" t="inlineStr">
        <is>
          <t>Privacy &amp; Self-hosted</t>
        </is>
      </c>
      <c r="F51" s="13" t="n"/>
      <c r="G51" s="13" t="n"/>
      <c r="H51" s="14" t="n"/>
      <c r="I51" s="12" t="inlineStr">
        <is>
          <t>Commercial</t>
        </is>
      </c>
      <c r="J51" s="15" t="n">
        <v>3</v>
      </c>
      <c r="K51" s="16">
        <f>IF(I51="","",IF(I51="Transactional",3,IF(I51="Commercial",2,1)))</f>
        <v/>
      </c>
      <c r="L51" s="16">
        <f>IF(G51="","",IF(G51&lt;=20,3,IF(G51&lt;=50,2,1)))</f>
        <v/>
      </c>
      <c r="M51" s="16">
        <f>IF(OR(J51="",K51="",L51=""),"",J51+K51+L51)</f>
        <v/>
      </c>
      <c r="N51" s="11" t="inlineStr">
        <is>
          <t>Secondary</t>
        </is>
      </c>
      <c r="O51" s="12" t="inlineStr">
        <is>
          <t>/privacy</t>
        </is>
      </c>
      <c r="P51" s="12" t="inlineStr">
        <is>
          <t>Trust</t>
        </is>
      </c>
      <c r="Q51" s="14" t="n"/>
      <c r="R51" s="14" t="n"/>
      <c r="S51" s="14" t="n"/>
      <c r="T51" s="12" t="inlineStr">
        <is>
          <t>Not started</t>
        </is>
      </c>
      <c r="U51" s="12" t="inlineStr"/>
    </row>
    <row r="52">
      <c r="A52" s="11" t="n">
        <v>51</v>
      </c>
      <c r="B52" s="12" t="inlineStr">
        <is>
          <t>developer analytics without keystroke tracking</t>
        </is>
      </c>
      <c r="C52" s="11" t="inlineStr">
        <is>
          <t>SEO</t>
        </is>
      </c>
      <c r="D52" s="12" t="inlineStr">
        <is>
          <t>Product guide</t>
        </is>
      </c>
      <c r="E52" s="12" t="inlineStr">
        <is>
          <t>Privacy &amp; Self-hosted</t>
        </is>
      </c>
      <c r="F52" s="13" t="n"/>
      <c r="G52" s="13" t="n"/>
      <c r="H52" s="14" t="n"/>
      <c r="I52" s="12" t="inlineStr">
        <is>
          <t>Commercial</t>
        </is>
      </c>
      <c r="J52" s="15" t="n">
        <v>3</v>
      </c>
      <c r="K52" s="16">
        <f>IF(I52="","",IF(I52="Transactional",3,IF(I52="Commercial",2,1)))</f>
        <v/>
      </c>
      <c r="L52" s="16">
        <f>IF(G52="","",IF(G52&lt;=20,3,IF(G52&lt;=50,2,1)))</f>
        <v/>
      </c>
      <c r="M52" s="16">
        <f>IF(OR(J52="",K52="",L52=""),"",J52+K52+L52)</f>
        <v/>
      </c>
      <c r="N52" s="11" t="inlineStr">
        <is>
          <t>Secondary</t>
        </is>
      </c>
      <c r="O52" s="12" t="inlineStr">
        <is>
          <t>/privacy</t>
        </is>
      </c>
      <c r="P52" s="12" t="inlineStr">
        <is>
          <t>Trust</t>
        </is>
      </c>
      <c r="Q52" s="14" t="n"/>
      <c r="R52" s="14" t="n"/>
      <c r="S52" s="14" t="n"/>
      <c r="T52" s="12" t="inlineStr">
        <is>
          <t>Not started</t>
        </is>
      </c>
      <c r="U52" s="12" t="inlineStr"/>
    </row>
    <row r="53">
      <c r="A53" s="11" t="n">
        <v>52</v>
      </c>
      <c r="B53" s="12" t="inlineStr">
        <is>
          <t>team activity dashboard</t>
        </is>
      </c>
      <c r="C53" s="11" t="inlineStr">
        <is>
          <t>SEO</t>
        </is>
      </c>
      <c r="D53" s="12" t="inlineStr">
        <is>
          <t>Product guide</t>
        </is>
      </c>
      <c r="E53" s="12" t="inlineStr">
        <is>
          <t>Team &amp; Projects</t>
        </is>
      </c>
      <c r="F53" s="13" t="n"/>
      <c r="G53" s="13" t="n"/>
      <c r="H53" s="14" t="n"/>
      <c r="I53" s="12" t="inlineStr">
        <is>
          <t>Commercial</t>
        </is>
      </c>
      <c r="J53" s="15" t="n">
        <v>2</v>
      </c>
      <c r="K53" s="16">
        <f>IF(I53="","",IF(I53="Transactional",3,IF(I53="Commercial",2,1)))</f>
        <v/>
      </c>
      <c r="L53" s="16">
        <f>IF(G53="","",IF(G53&lt;=20,3,IF(G53&lt;=50,2,1)))</f>
        <v/>
      </c>
      <c r="M53" s="16">
        <f>IF(OR(J53="",K53="",L53=""),"",J53+K53+L53)</f>
        <v/>
      </c>
      <c r="N53" s="11" t="inlineStr">
        <is>
          <t>Main</t>
        </is>
      </c>
      <c r="O53" s="12" t="inlineStr">
        <is>
          <t>/features</t>
        </is>
      </c>
      <c r="P53" s="12" t="inlineStr">
        <is>
          <t>Feature</t>
        </is>
      </c>
      <c r="Q53" s="14" t="n"/>
      <c r="R53" s="14" t="n"/>
      <c r="S53" s="14" t="n"/>
      <c r="T53" s="12" t="inlineStr">
        <is>
          <t>Not started</t>
        </is>
      </c>
      <c r="U53" s="12" t="inlineStr"/>
    </row>
    <row r="54">
      <c r="A54" s="11" t="n">
        <v>53</v>
      </c>
      <c r="B54" s="12" t="inlineStr">
        <is>
          <t>what is my team working on dashboard</t>
        </is>
      </c>
      <c r="C54" s="11" t="inlineStr">
        <is>
          <t>SEO</t>
        </is>
      </c>
      <c r="D54" s="12" t="inlineStr">
        <is>
          <t>Product guide</t>
        </is>
      </c>
      <c r="E54" s="12" t="inlineStr">
        <is>
          <t>Team &amp; Projects</t>
        </is>
      </c>
      <c r="F54" s="13" t="n"/>
      <c r="G54" s="13" t="n"/>
      <c r="H54" s="14" t="n"/>
      <c r="I54" s="12" t="inlineStr">
        <is>
          <t>Commercial</t>
        </is>
      </c>
      <c r="J54" s="15" t="n">
        <v>3</v>
      </c>
      <c r="K54" s="16">
        <f>IF(I54="","",IF(I54="Transactional",3,IF(I54="Commercial",2,1)))</f>
        <v/>
      </c>
      <c r="L54" s="16">
        <f>IF(G54="","",IF(G54&lt;=20,3,IF(G54&lt;=50,2,1)))</f>
        <v/>
      </c>
      <c r="M54" s="16">
        <f>IF(OR(J54="",K54="",L54=""),"",J54+K54+L54)</f>
        <v/>
      </c>
      <c r="N54" s="11" t="inlineStr">
        <is>
          <t>Secondary</t>
        </is>
      </c>
      <c r="O54" s="12" t="inlineStr">
        <is>
          <t>/features</t>
        </is>
      </c>
      <c r="P54" s="12" t="inlineStr">
        <is>
          <t>Feature</t>
        </is>
      </c>
      <c r="Q54" s="14" t="n"/>
      <c r="R54" s="14" t="n"/>
      <c r="S54" s="14" t="n"/>
      <c r="T54" s="12" t="inlineStr">
        <is>
          <t>Not started</t>
        </is>
      </c>
      <c r="U54" s="12" t="inlineStr"/>
    </row>
    <row r="55">
      <c r="A55" s="11" t="n">
        <v>54</v>
      </c>
      <c r="B55" s="12" t="inlineStr">
        <is>
          <t>project health dashboard</t>
        </is>
      </c>
      <c r="C55" s="11" t="inlineStr">
        <is>
          <t>SEO</t>
        </is>
      </c>
      <c r="D55" s="12" t="inlineStr">
        <is>
          <t>Product guide</t>
        </is>
      </c>
      <c r="E55" s="12" t="inlineStr">
        <is>
          <t>Team &amp; Projects</t>
        </is>
      </c>
      <c r="F55" s="13" t="n"/>
      <c r="G55" s="13" t="n"/>
      <c r="H55" s="14" t="n"/>
      <c r="I55" s="12" t="inlineStr">
        <is>
          <t>Commercial</t>
        </is>
      </c>
      <c r="J55" s="15" t="n">
        <v>2</v>
      </c>
      <c r="K55" s="16">
        <f>IF(I55="","",IF(I55="Transactional",3,IF(I55="Commercial",2,1)))</f>
        <v/>
      </c>
      <c r="L55" s="16">
        <f>IF(G55="","",IF(G55&lt;=20,3,IF(G55&lt;=50,2,1)))</f>
        <v/>
      </c>
      <c r="M55" s="16">
        <f>IF(OR(J55="",K55="",L55=""),"",J55+K55+L55)</f>
        <v/>
      </c>
      <c r="N55" s="11" t="inlineStr">
        <is>
          <t>Secondary</t>
        </is>
      </c>
      <c r="O55" s="12" t="inlineStr">
        <is>
          <t>/features</t>
        </is>
      </c>
      <c r="P55" s="12" t="inlineStr">
        <is>
          <t>Feature</t>
        </is>
      </c>
      <c r="Q55" s="14" t="n"/>
      <c r="R55" s="14" t="n"/>
      <c r="S55" s="14" t="n"/>
      <c r="T55" s="12" t="inlineStr">
        <is>
          <t>Not started</t>
        </is>
      </c>
      <c r="U55" s="12" t="inlineStr"/>
    </row>
    <row r="56">
      <c r="A56" s="11" t="n">
        <v>55</v>
      </c>
      <c r="B56" s="12" t="inlineStr">
        <is>
          <t>engineering project tracking ai</t>
        </is>
      </c>
      <c r="C56" s="11" t="inlineStr">
        <is>
          <t>SEO</t>
        </is>
      </c>
      <c r="D56" s="12" t="inlineStr">
        <is>
          <t>Product guide</t>
        </is>
      </c>
      <c r="E56" s="12" t="inlineStr">
        <is>
          <t>Team &amp; Projects</t>
        </is>
      </c>
      <c r="F56" s="13" t="n"/>
      <c r="G56" s="13" t="n"/>
      <c r="H56" s="14" t="n"/>
      <c r="I56" s="12" t="inlineStr">
        <is>
          <t>Commercial</t>
        </is>
      </c>
      <c r="J56" s="15" t="n">
        <v>2</v>
      </c>
      <c r="K56" s="16">
        <f>IF(I56="","",IF(I56="Transactional",3,IF(I56="Commercial",2,1)))</f>
        <v/>
      </c>
      <c r="L56" s="16">
        <f>IF(G56="","",IF(G56&lt;=20,3,IF(G56&lt;=50,2,1)))</f>
        <v/>
      </c>
      <c r="M56" s="16">
        <f>IF(OR(J56="",K56="",L56=""),"",J56+K56+L56)</f>
        <v/>
      </c>
      <c r="N56" s="11" t="inlineStr">
        <is>
          <t>Secondary</t>
        </is>
      </c>
      <c r="O56" s="12" t="inlineStr">
        <is>
          <t>/features</t>
        </is>
      </c>
      <c r="P56" s="12" t="inlineStr">
        <is>
          <t>Feature</t>
        </is>
      </c>
      <c r="Q56" s="14" t="n"/>
      <c r="R56" s="14" t="n"/>
      <c r="S56" s="14" t="n"/>
      <c r="T56" s="12" t="inlineStr">
        <is>
          <t>Not started</t>
        </is>
      </c>
      <c r="U56" s="12" t="inlineStr"/>
    </row>
    <row r="57">
      <c r="A57" s="11" t="n">
        <v>56</v>
      </c>
      <c r="B57" s="12" t="inlineStr">
        <is>
          <t>duplicate repository detection</t>
        </is>
      </c>
      <c r="C57" s="11" t="inlineStr">
        <is>
          <t>SEO</t>
        </is>
      </c>
      <c r="D57" s="12" t="inlineStr">
        <is>
          <t>Product guide</t>
        </is>
      </c>
      <c r="E57" s="12" t="inlineStr">
        <is>
          <t>Team &amp; Projects</t>
        </is>
      </c>
      <c r="F57" s="13" t="n"/>
      <c r="G57" s="13" t="n"/>
      <c r="H57" s="14" t="n"/>
      <c r="I57" s="12" t="inlineStr">
        <is>
          <t>Informational</t>
        </is>
      </c>
      <c r="J57" s="15" t="n">
        <v>2</v>
      </c>
      <c r="K57" s="16">
        <f>IF(I57="","",IF(I57="Transactional",3,IF(I57="Commercial",2,1)))</f>
        <v/>
      </c>
      <c r="L57" s="16">
        <f>IF(G57="","",IF(G57&lt;=20,3,IF(G57&lt;=50,2,1)))</f>
        <v/>
      </c>
      <c r="M57" s="16">
        <f>IF(OR(J57="",K57="",L57=""),"",J57+K57+L57)</f>
        <v/>
      </c>
      <c r="N57" s="11" t="inlineStr">
        <is>
          <t>Secondary</t>
        </is>
      </c>
      <c r="O57" s="12" t="inlineStr">
        <is>
          <t>/features</t>
        </is>
      </c>
      <c r="P57" s="12" t="inlineStr">
        <is>
          <t>Feature</t>
        </is>
      </c>
      <c r="Q57" s="14" t="n"/>
      <c r="R57" s="14" t="n"/>
      <c r="S57" s="14" t="n"/>
      <c r="T57" s="12" t="inlineStr">
        <is>
          <t>Not started</t>
        </is>
      </c>
      <c r="U57" s="12" t="inlineStr"/>
    </row>
    <row r="58">
      <c r="A58" s="11" t="n">
        <v>57</v>
      </c>
      <c r="B58" s="12" t="inlineStr">
        <is>
          <t>team collaboration insights</t>
        </is>
      </c>
      <c r="C58" s="11" t="inlineStr">
        <is>
          <t>SEO</t>
        </is>
      </c>
      <c r="D58" s="12" t="inlineStr">
        <is>
          <t>Product guide</t>
        </is>
      </c>
      <c r="E58" s="12" t="inlineStr">
        <is>
          <t>Team &amp; Projects</t>
        </is>
      </c>
      <c r="F58" s="13" t="n"/>
      <c r="G58" s="13" t="n"/>
      <c r="H58" s="14" t="n"/>
      <c r="I58" s="12" t="inlineStr">
        <is>
          <t>Commercial</t>
        </is>
      </c>
      <c r="J58" s="15" t="n">
        <v>2</v>
      </c>
      <c r="K58" s="16">
        <f>IF(I58="","",IF(I58="Transactional",3,IF(I58="Commercial",2,1)))</f>
        <v/>
      </c>
      <c r="L58" s="16">
        <f>IF(G58="","",IF(G58&lt;=20,3,IF(G58&lt;=50,2,1)))</f>
        <v/>
      </c>
      <c r="M58" s="16">
        <f>IF(OR(J58="",K58="",L58=""),"",J58+K58+L58)</f>
        <v/>
      </c>
      <c r="N58" s="11" t="inlineStr">
        <is>
          <t>Secondary</t>
        </is>
      </c>
      <c r="O58" s="12" t="inlineStr">
        <is>
          <t>/features</t>
        </is>
      </c>
      <c r="P58" s="12" t="inlineStr">
        <is>
          <t>Feature</t>
        </is>
      </c>
      <c r="Q58" s="14" t="n"/>
      <c r="R58" s="14" t="n"/>
      <c r="S58" s="14" t="n"/>
      <c r="T58" s="12" t="inlineStr">
        <is>
          <t>Not started</t>
        </is>
      </c>
      <c r="U58" s="12" t="inlineStr"/>
    </row>
    <row r="59">
      <c r="A59" s="11" t="n">
        <v>58</v>
      </c>
      <c r="B59" s="12" t="inlineStr">
        <is>
          <t>failing commands analytics</t>
        </is>
      </c>
      <c r="C59" s="11" t="inlineStr">
        <is>
          <t>SEO</t>
        </is>
      </c>
      <c r="D59" s="12" t="inlineStr">
        <is>
          <t>Product guide</t>
        </is>
      </c>
      <c r="E59" s="12" t="inlineStr">
        <is>
          <t>Team &amp; Projects</t>
        </is>
      </c>
      <c r="F59" s="13" t="n"/>
      <c r="G59" s="13" t="n"/>
      <c r="H59" s="14" t="n"/>
      <c r="I59" s="12" t="inlineStr">
        <is>
          <t>Commercial</t>
        </is>
      </c>
      <c r="J59" s="15" t="n">
        <v>3</v>
      </c>
      <c r="K59" s="16">
        <f>IF(I59="","",IF(I59="Transactional",3,IF(I59="Commercial",2,1)))</f>
        <v/>
      </c>
      <c r="L59" s="16">
        <f>IF(G59="","",IF(G59&lt;=20,3,IF(G59&lt;=50,2,1)))</f>
        <v/>
      </c>
      <c r="M59" s="16">
        <f>IF(OR(J59="",K59="",L59=""),"",J59+K59+L59)</f>
        <v/>
      </c>
      <c r="N59" s="11" t="inlineStr">
        <is>
          <t>Secondary</t>
        </is>
      </c>
      <c r="O59" s="12" t="inlineStr">
        <is>
          <t>/features</t>
        </is>
      </c>
      <c r="P59" s="12" t="inlineStr">
        <is>
          <t>Feature</t>
        </is>
      </c>
      <c r="Q59" s="14" t="n"/>
      <c r="R59" s="14" t="n"/>
      <c r="S59" s="14" t="n"/>
      <c r="T59" s="12" t="inlineStr">
        <is>
          <t>Not started</t>
        </is>
      </c>
      <c r="U59" s="12" t="inlineStr"/>
    </row>
    <row r="60">
      <c r="A60" s="11" t="n">
        <v>59</v>
      </c>
      <c r="B60" s="12" t="inlineStr">
        <is>
          <t>engineering burnout early warning</t>
        </is>
      </c>
      <c r="C60" s="11" t="inlineStr">
        <is>
          <t>SEO</t>
        </is>
      </c>
      <c r="D60" s="12" t="inlineStr">
        <is>
          <t>Product guide</t>
        </is>
      </c>
      <c r="E60" s="12" t="inlineStr">
        <is>
          <t>Team &amp; Projects</t>
        </is>
      </c>
      <c r="F60" s="13" t="n"/>
      <c r="G60" s="13" t="n"/>
      <c r="H60" s="14" t="n"/>
      <c r="I60" s="12" t="inlineStr">
        <is>
          <t>Informational</t>
        </is>
      </c>
      <c r="J60" s="15" t="n">
        <v>2</v>
      </c>
      <c r="K60" s="16">
        <f>IF(I60="","",IF(I60="Transactional",3,IF(I60="Commercial",2,1)))</f>
        <v/>
      </c>
      <c r="L60" s="16">
        <f>IF(G60="","",IF(G60&lt;=20,3,IF(G60&lt;=50,2,1)))</f>
        <v/>
      </c>
      <c r="M60" s="16">
        <f>IF(OR(J60="",K60="",L60=""),"",J60+K60+L60)</f>
        <v/>
      </c>
      <c r="N60" s="11" t="inlineStr">
        <is>
          <t>Main</t>
        </is>
      </c>
      <c r="O60" s="12" t="inlineStr">
        <is>
          <t>/blog/engineering-burnout-signals</t>
        </is>
      </c>
      <c r="P60" s="12" t="inlineStr">
        <is>
          <t>Blog</t>
        </is>
      </c>
      <c r="Q60" s="14" t="n"/>
      <c r="R60" s="14" t="n"/>
      <c r="S60" s="14" t="n"/>
      <c r="T60" s="12" t="inlineStr">
        <is>
          <t>Not started</t>
        </is>
      </c>
      <c r="U60" s="12" t="inlineStr">
        <is>
          <t>Frame as supportive, not surveillance</t>
        </is>
      </c>
    </row>
    <row r="61">
      <c r="A61" s="11" t="n">
        <v>60</v>
      </c>
      <c r="B61" s="12" t="inlineStr">
        <is>
          <t>ai retry loops developers</t>
        </is>
      </c>
      <c r="C61" s="11" t="inlineStr">
        <is>
          <t>SEO</t>
        </is>
      </c>
      <c r="D61" s="12" t="inlineStr">
        <is>
          <t>Product guide</t>
        </is>
      </c>
      <c r="E61" s="12" t="inlineStr">
        <is>
          <t>Team &amp; Projects</t>
        </is>
      </c>
      <c r="F61" s="13" t="n"/>
      <c r="G61" s="13" t="n"/>
      <c r="H61" s="14" t="n"/>
      <c r="I61" s="12" t="inlineStr">
        <is>
          <t>Informational</t>
        </is>
      </c>
      <c r="J61" s="15" t="n">
        <v>3</v>
      </c>
      <c r="K61" s="16">
        <f>IF(I61="","",IF(I61="Transactional",3,IF(I61="Commercial",2,1)))</f>
        <v/>
      </c>
      <c r="L61" s="16">
        <f>IF(G61="","",IF(G61&lt;=20,3,IF(G61&lt;=50,2,1)))</f>
        <v/>
      </c>
      <c r="M61" s="16">
        <f>IF(OR(J61="",K61="",L61=""),"",J61+K61+L61)</f>
        <v/>
      </c>
      <c r="N61" s="11" t="inlineStr">
        <is>
          <t>Main</t>
        </is>
      </c>
      <c r="O61" s="12" t="inlineStr">
        <is>
          <t>/blog/ai-retry-loops</t>
        </is>
      </c>
      <c r="P61" s="12" t="inlineStr">
        <is>
          <t>Blog</t>
        </is>
      </c>
      <c r="Q61" s="14" t="n"/>
      <c r="R61" s="14" t="n"/>
      <c r="S61" s="14" t="n"/>
      <c r="T61" s="12" t="inlineStr">
        <is>
          <t>Not started</t>
        </is>
      </c>
      <c r="U61" s="12" t="inlineStr"/>
    </row>
    <row r="62">
      <c r="A62" s="11" t="n">
        <v>61</v>
      </c>
      <c r="B62" s="12" t="inlineStr">
        <is>
          <t>engineering knowledge management</t>
        </is>
      </c>
      <c r="C62" s="11" t="inlineStr">
        <is>
          <t>SEO</t>
        </is>
      </c>
      <c r="D62" s="12" t="inlineStr">
        <is>
          <t>Product guide</t>
        </is>
      </c>
      <c r="E62" s="12" t="inlineStr">
        <is>
          <t>Knowledge</t>
        </is>
      </c>
      <c r="F62" s="13" t="n"/>
      <c r="G62" s="13" t="n"/>
      <c r="H62" s="14" t="n"/>
      <c r="I62" s="12" t="inlineStr">
        <is>
          <t>Commercial</t>
        </is>
      </c>
      <c r="J62" s="15" t="n">
        <v>2</v>
      </c>
      <c r="K62" s="16">
        <f>IF(I62="","",IF(I62="Transactional",3,IF(I62="Commercial",2,1)))</f>
        <v/>
      </c>
      <c r="L62" s="16">
        <f>IF(G62="","",IF(G62&lt;=20,3,IF(G62&lt;=50,2,1)))</f>
        <v/>
      </c>
      <c r="M62" s="16">
        <f>IF(OR(J62="",K62="",L62=""),"",J62+K62+L62)</f>
        <v/>
      </c>
      <c r="N62" s="11" t="inlineStr">
        <is>
          <t>Secondary</t>
        </is>
      </c>
      <c r="O62" s="12" t="inlineStr">
        <is>
          <t>/features</t>
        </is>
      </c>
      <c r="P62" s="12" t="inlineStr">
        <is>
          <t>Feature</t>
        </is>
      </c>
      <c r="Q62" s="14" t="n"/>
      <c r="R62" s="14" t="n"/>
      <c r="S62" s="14" t="n"/>
      <c r="T62" s="12" t="inlineStr">
        <is>
          <t>Not started</t>
        </is>
      </c>
      <c r="U62" s="12" t="inlineStr"/>
    </row>
    <row r="63">
      <c r="A63" s="11" t="n">
        <v>62</v>
      </c>
      <c r="B63" s="12" t="inlineStr">
        <is>
          <t>capture knowledge from ai coding sessions</t>
        </is>
      </c>
      <c r="C63" s="11" t="inlineStr">
        <is>
          <t>SEO</t>
        </is>
      </c>
      <c r="D63" s="12" t="inlineStr">
        <is>
          <t>Product guide</t>
        </is>
      </c>
      <c r="E63" s="12" t="inlineStr">
        <is>
          <t>Knowledge</t>
        </is>
      </c>
      <c r="F63" s="13" t="n"/>
      <c r="G63" s="13" t="n"/>
      <c r="H63" s="14" t="n"/>
      <c r="I63" s="12" t="inlineStr">
        <is>
          <t>Commercial</t>
        </is>
      </c>
      <c r="J63" s="15" t="n">
        <v>3</v>
      </c>
      <c r="K63" s="16">
        <f>IF(I63="","",IF(I63="Transactional",3,IF(I63="Commercial",2,1)))</f>
        <v/>
      </c>
      <c r="L63" s="16">
        <f>IF(G63="","",IF(G63&lt;=20,3,IF(G63&lt;=50,2,1)))</f>
        <v/>
      </c>
      <c r="M63" s="16">
        <f>IF(OR(J63="",K63="",L63=""),"",J63+K63+L63)</f>
        <v/>
      </c>
      <c r="N63" s="11" t="inlineStr">
        <is>
          <t>Secondary</t>
        </is>
      </c>
      <c r="O63" s="12" t="inlineStr">
        <is>
          <t>/features</t>
        </is>
      </c>
      <c r="P63" s="12" t="inlineStr">
        <is>
          <t>Feature</t>
        </is>
      </c>
      <c r="Q63" s="14" t="n"/>
      <c r="R63" s="14" t="n"/>
      <c r="S63" s="14" t="n"/>
      <c r="T63" s="12" t="inlineStr">
        <is>
          <t>Not started</t>
        </is>
      </c>
      <c r="U63" s="12" t="inlineStr"/>
    </row>
    <row r="64">
      <c r="A64" s="11" t="n">
        <v>63</v>
      </c>
      <c r="B64" s="12" t="inlineStr">
        <is>
          <t>institutional knowledge software teams</t>
        </is>
      </c>
      <c r="C64" s="11" t="inlineStr">
        <is>
          <t>SEO</t>
        </is>
      </c>
      <c r="D64" s="12" t="inlineStr">
        <is>
          <t>Product guide</t>
        </is>
      </c>
      <c r="E64" s="12" t="inlineStr">
        <is>
          <t>Knowledge</t>
        </is>
      </c>
      <c r="F64" s="13" t="n"/>
      <c r="G64" s="13" t="n"/>
      <c r="H64" s="14" t="n"/>
      <c r="I64" s="12" t="inlineStr">
        <is>
          <t>Informational</t>
        </is>
      </c>
      <c r="J64" s="15" t="n">
        <v>2</v>
      </c>
      <c r="K64" s="16">
        <f>IF(I64="","",IF(I64="Transactional",3,IF(I64="Commercial",2,1)))</f>
        <v/>
      </c>
      <c r="L64" s="16">
        <f>IF(G64="","",IF(G64&lt;=20,3,IF(G64&lt;=50,2,1)))</f>
        <v/>
      </c>
      <c r="M64" s="16">
        <f>IF(OR(J64="",K64="",L64=""),"",J64+K64+L64)</f>
        <v/>
      </c>
      <c r="N64" s="11" t="inlineStr">
        <is>
          <t>Main</t>
        </is>
      </c>
      <c r="O64" s="12" t="inlineStr">
        <is>
          <t>/blog/institutional-knowledge</t>
        </is>
      </c>
      <c r="P64" s="12" t="inlineStr">
        <is>
          <t>Blog</t>
        </is>
      </c>
      <c r="Q64" s="14" t="n"/>
      <c r="R64" s="14" t="n"/>
      <c r="S64" s="14" t="n"/>
      <c r="T64" s="12" t="inlineStr">
        <is>
          <t>Not started</t>
        </is>
      </c>
      <c r="U64" s="12" t="inlineStr"/>
    </row>
    <row r="65">
      <c r="A65" s="11" t="n">
        <v>64</v>
      </c>
      <c r="B65" s="12" t="inlineStr">
        <is>
          <t>mcp server developer analytics</t>
        </is>
      </c>
      <c r="C65" s="11" t="inlineStr">
        <is>
          <t>SEO</t>
        </is>
      </c>
      <c r="D65" s="12" t="inlineStr">
        <is>
          <t>Product guide</t>
        </is>
      </c>
      <c r="E65" s="12" t="inlineStr">
        <is>
          <t>AI Agents &amp; MCP</t>
        </is>
      </c>
      <c r="F65" s="13" t="n"/>
      <c r="G65" s="13" t="n"/>
      <c r="H65" s="14" t="n"/>
      <c r="I65" s="12" t="inlineStr">
        <is>
          <t>Commercial</t>
        </is>
      </c>
      <c r="J65" s="15" t="n">
        <v>3</v>
      </c>
      <c r="K65" s="16">
        <f>IF(I65="","",IF(I65="Transactional",3,IF(I65="Commercial",2,1)))</f>
        <v/>
      </c>
      <c r="L65" s="16">
        <f>IF(G65="","",IF(G65&lt;=20,3,IF(G65&lt;=50,2,1)))</f>
        <v/>
      </c>
      <c r="M65" s="16">
        <f>IF(OR(J65="",K65="",L65=""),"",J65+K65+L65)</f>
        <v/>
      </c>
      <c r="N65" s="11" t="inlineStr">
        <is>
          <t>Main</t>
        </is>
      </c>
      <c r="O65" s="12" t="inlineStr">
        <is>
          <t>/docs</t>
        </is>
      </c>
      <c r="P65" s="12" t="inlineStr">
        <is>
          <t>Docs</t>
        </is>
      </c>
      <c r="Q65" s="14" t="n"/>
      <c r="R65" s="14" t="n"/>
      <c r="S65" s="14" t="n"/>
      <c r="T65" s="12" t="inlineStr">
        <is>
          <t>Not started</t>
        </is>
      </c>
      <c r="U65" s="12" t="inlineStr">
        <is>
          <t>List in MCP registries</t>
        </is>
      </c>
    </row>
    <row r="66">
      <c r="A66" s="11" t="n">
        <v>65</v>
      </c>
      <c r="B66" s="12" t="inlineStr">
        <is>
          <t>engineering metrics api for ai agents</t>
        </is>
      </c>
      <c r="C66" s="11" t="inlineStr">
        <is>
          <t>SEO</t>
        </is>
      </c>
      <c r="D66" s="12" t="inlineStr">
        <is>
          <t>Product guide</t>
        </is>
      </c>
      <c r="E66" s="12" t="inlineStr">
        <is>
          <t>AI Agents &amp; MCP</t>
        </is>
      </c>
      <c r="F66" s="13" t="n"/>
      <c r="G66" s="13" t="n"/>
      <c r="H66" s="14" t="n"/>
      <c r="I66" s="12" t="inlineStr">
        <is>
          <t>Commercial</t>
        </is>
      </c>
      <c r="J66" s="15" t="n">
        <v>3</v>
      </c>
      <c r="K66" s="16">
        <f>IF(I66="","",IF(I66="Transactional",3,IF(I66="Commercial",2,1)))</f>
        <v/>
      </c>
      <c r="L66" s="16">
        <f>IF(G66="","",IF(G66&lt;=20,3,IF(G66&lt;=50,2,1)))</f>
        <v/>
      </c>
      <c r="M66" s="16">
        <f>IF(OR(J66="",K66="",L66=""),"",J66+K66+L66)</f>
        <v/>
      </c>
      <c r="N66" s="11" t="inlineStr">
        <is>
          <t>Secondary</t>
        </is>
      </c>
      <c r="O66" s="12" t="inlineStr">
        <is>
          <t>/docs</t>
        </is>
      </c>
      <c r="P66" s="12" t="inlineStr">
        <is>
          <t>Docs</t>
        </is>
      </c>
      <c r="Q66" s="14" t="n"/>
      <c r="R66" s="14" t="n"/>
      <c r="S66" s="14" t="n"/>
      <c r="T66" s="12" t="inlineStr">
        <is>
          <t>Not started</t>
        </is>
      </c>
      <c r="U66" s="12" t="inlineStr"/>
    </row>
    <row r="67">
      <c r="A67" s="11" t="n">
        <v>66</v>
      </c>
      <c r="B67" s="12" t="inlineStr">
        <is>
          <t>ai assistant weekly team report</t>
        </is>
      </c>
      <c r="C67" s="11" t="inlineStr">
        <is>
          <t>SEO</t>
        </is>
      </c>
      <c r="D67" s="12" t="inlineStr">
        <is>
          <t>Product guide</t>
        </is>
      </c>
      <c r="E67" s="12" t="inlineStr">
        <is>
          <t>AI Agents &amp; MCP</t>
        </is>
      </c>
      <c r="F67" s="13" t="n"/>
      <c r="G67" s="13" t="n"/>
      <c r="H67" s="14" t="n"/>
      <c r="I67" s="12" t="inlineStr">
        <is>
          <t>Informational</t>
        </is>
      </c>
      <c r="J67" s="15" t="n">
        <v>3</v>
      </c>
      <c r="K67" s="16">
        <f>IF(I67="","",IF(I67="Transactional",3,IF(I67="Commercial",2,1)))</f>
        <v/>
      </c>
      <c r="L67" s="16">
        <f>IF(G67="","",IF(G67&lt;=20,3,IF(G67&lt;=50,2,1)))</f>
        <v/>
      </c>
      <c r="M67" s="16">
        <f>IF(OR(J67="",K67="",L67=""),"",J67+K67+L67)</f>
        <v/>
      </c>
      <c r="N67" s="11" t="inlineStr">
        <is>
          <t>Main</t>
        </is>
      </c>
      <c r="O67" s="12" t="inlineStr">
        <is>
          <t>/blog/ai-weekly-team-report</t>
        </is>
      </c>
      <c r="P67" s="12" t="inlineStr">
        <is>
          <t>Blog</t>
        </is>
      </c>
      <c r="Q67" s="14" t="n"/>
      <c r="R67" s="14" t="n"/>
      <c r="S67" s="14" t="n"/>
      <c r="T67" s="12" t="inlineStr">
        <is>
          <t>Not started</t>
        </is>
      </c>
      <c r="U67" s="12" t="inlineStr"/>
    </row>
    <row r="68">
      <c r="A68" s="11" t="n">
        <v>67</v>
      </c>
      <c r="B68" s="12" t="inlineStr">
        <is>
          <t>agentic coding</t>
        </is>
      </c>
      <c r="C68" s="11" t="inlineStr">
        <is>
          <t>SEO</t>
        </is>
      </c>
      <c r="D68" s="12" t="inlineStr">
        <is>
          <t>Product guide</t>
        </is>
      </c>
      <c r="E68" s="12" t="inlineStr">
        <is>
          <t>Concepts</t>
        </is>
      </c>
      <c r="F68" s="13" t="n"/>
      <c r="G68" s="13" t="n"/>
      <c r="H68" s="14" t="n"/>
      <c r="I68" s="12" t="inlineStr">
        <is>
          <t>Informational</t>
        </is>
      </c>
      <c r="J68" s="15" t="n">
        <v>2</v>
      </c>
      <c r="K68" s="16">
        <f>IF(I68="","",IF(I68="Transactional",3,IF(I68="Commercial",2,1)))</f>
        <v/>
      </c>
      <c r="L68" s="16">
        <f>IF(G68="","",IF(G68&lt;=20,3,IF(G68&lt;=50,2,1)))</f>
        <v/>
      </c>
      <c r="M68" s="16">
        <f>IF(OR(J68="",K68="",L68=""),"",J68+K68+L68)</f>
        <v/>
      </c>
      <c r="N68" s="11" t="inlineStr">
        <is>
          <t>Main</t>
        </is>
      </c>
      <c r="O68" s="12" t="inlineStr">
        <is>
          <t>/blog/agentic-coding</t>
        </is>
      </c>
      <c r="P68" s="12" t="inlineStr">
        <is>
          <t>Blog</t>
        </is>
      </c>
      <c r="Q68" s="14" t="n"/>
      <c r="R68" s="14" t="n"/>
      <c r="S68" s="14" t="n"/>
      <c r="T68" s="12" t="inlineStr">
        <is>
          <t>Not started</t>
        </is>
      </c>
      <c r="U68" s="12" t="inlineStr">
        <is>
          <t>High volume, low buying intent</t>
        </is>
      </c>
    </row>
    <row r="69">
      <c r="A69" s="11" t="n">
        <v>68</v>
      </c>
      <c r="B69" s="12" t="inlineStr">
        <is>
          <t>agentic coding analytics</t>
        </is>
      </c>
      <c r="C69" s="11" t="inlineStr">
        <is>
          <t>SEO</t>
        </is>
      </c>
      <c r="D69" s="12" t="inlineStr">
        <is>
          <t>Product guide</t>
        </is>
      </c>
      <c r="E69" s="12" t="inlineStr">
        <is>
          <t>Concepts</t>
        </is>
      </c>
      <c r="F69" s="13" t="n"/>
      <c r="G69" s="13" t="n"/>
      <c r="H69" s="14" t="n"/>
      <c r="I69" s="12" t="inlineStr">
        <is>
          <t>Commercial</t>
        </is>
      </c>
      <c r="J69" s="15" t="n">
        <v>3</v>
      </c>
      <c r="K69" s="16">
        <f>IF(I69="","",IF(I69="Transactional",3,IF(I69="Commercial",2,1)))</f>
        <v/>
      </c>
      <c r="L69" s="16">
        <f>IF(G69="","",IF(G69&lt;=20,3,IF(G69&lt;=50,2,1)))</f>
        <v/>
      </c>
      <c r="M69" s="16">
        <f>IF(OR(J69="",K69="",L69=""),"",J69+K69+L69)</f>
        <v/>
      </c>
      <c r="N69" s="11" t="inlineStr">
        <is>
          <t>Secondary</t>
        </is>
      </c>
      <c r="O69" s="12" t="inlineStr">
        <is>
          <t>/ai-coding-analytics</t>
        </is>
      </c>
      <c r="P69" s="12" t="inlineStr">
        <is>
          <t>Solution</t>
        </is>
      </c>
      <c r="Q69" s="14" t="n"/>
      <c r="R69" s="14" t="n"/>
      <c r="S69" s="14" t="n"/>
      <c r="T69" s="12" t="inlineStr">
        <is>
          <t>Not started</t>
        </is>
      </c>
      <c r="U69" s="12" t="inlineStr"/>
    </row>
    <row r="70">
      <c r="A70" s="11" t="n">
        <v>69</v>
      </c>
      <c r="B70" s="12" t="inlineStr">
        <is>
          <t>ai pair programming metrics</t>
        </is>
      </c>
      <c r="C70" s="11" t="inlineStr">
        <is>
          <t>SEO</t>
        </is>
      </c>
      <c r="D70" s="12" t="inlineStr">
        <is>
          <t>Product guide</t>
        </is>
      </c>
      <c r="E70" s="12" t="inlineStr">
        <is>
          <t>Concepts</t>
        </is>
      </c>
      <c r="F70" s="13" t="n"/>
      <c r="G70" s="13" t="n"/>
      <c r="H70" s="14" t="n"/>
      <c r="I70" s="12" t="inlineStr">
        <is>
          <t>Commercial</t>
        </is>
      </c>
      <c r="J70" s="15" t="n">
        <v>3</v>
      </c>
      <c r="K70" s="16">
        <f>IF(I70="","",IF(I70="Transactional",3,IF(I70="Commercial",2,1)))</f>
        <v/>
      </c>
      <c r="L70" s="16">
        <f>IF(G70="","",IF(G70&lt;=20,3,IF(G70&lt;=50,2,1)))</f>
        <v/>
      </c>
      <c r="M70" s="16">
        <f>IF(OR(J70="",K70="",L70=""),"",J70+K70+L70)</f>
        <v/>
      </c>
      <c r="N70" s="11" t="inlineStr">
        <is>
          <t>Secondary</t>
        </is>
      </c>
      <c r="O70" s="12" t="inlineStr">
        <is>
          <t>/ai-coding-analytics</t>
        </is>
      </c>
      <c r="P70" s="12" t="inlineStr">
        <is>
          <t>Solution</t>
        </is>
      </c>
      <c r="Q70" s="14" t="n"/>
      <c r="R70" s="14" t="n"/>
      <c r="S70" s="14" t="n"/>
      <c r="T70" s="12" t="inlineStr">
        <is>
          <t>Not started</t>
        </is>
      </c>
      <c r="U70" s="12" t="inlineStr"/>
    </row>
    <row r="71">
      <c r="A71" s="11" t="n">
        <v>70</v>
      </c>
      <c r="B71" s="12" t="inlineStr">
        <is>
          <t>vibe coding team</t>
        </is>
      </c>
      <c r="C71" s="11" t="inlineStr">
        <is>
          <t>SEO</t>
        </is>
      </c>
      <c r="D71" s="12" t="inlineStr">
        <is>
          <t>Product guide</t>
        </is>
      </c>
      <c r="E71" s="12" t="inlineStr">
        <is>
          <t>Concepts</t>
        </is>
      </c>
      <c r="F71" s="13" t="n"/>
      <c r="G71" s="13" t="n"/>
      <c r="H71" s="14" t="n"/>
      <c r="I71" s="12" t="inlineStr">
        <is>
          <t>Informational</t>
        </is>
      </c>
      <c r="J71" s="15" t="n">
        <v>1</v>
      </c>
      <c r="K71" s="16">
        <f>IF(I71="","",IF(I71="Transactional",3,IF(I71="Commercial",2,1)))</f>
        <v/>
      </c>
      <c r="L71" s="16">
        <f>IF(G71="","",IF(G71&lt;=20,3,IF(G71&lt;=50,2,1)))</f>
        <v/>
      </c>
      <c r="M71" s="16">
        <f>IF(OR(J71="",K71="",L71=""),"",J71+K71+L71)</f>
        <v/>
      </c>
      <c r="N71" s="11" t="inlineStr">
        <is>
          <t>Main</t>
        </is>
      </c>
      <c r="O71" s="12" t="inlineStr">
        <is>
          <t>/blog/vibe-coding-teams</t>
        </is>
      </c>
      <c r="P71" s="12" t="inlineStr">
        <is>
          <t>Blog</t>
        </is>
      </c>
      <c r="Q71" s="14" t="n"/>
      <c r="R71" s="14" t="n"/>
      <c r="S71" s="14" t="n"/>
      <c r="T71" s="12" t="inlineStr">
        <is>
          <t>Not started</t>
        </is>
      </c>
      <c r="U71" s="12" t="inlineStr"/>
    </row>
    <row r="72">
      <c r="A72" s="11" t="n">
        <v>71</v>
      </c>
      <c r="B72" s="12" t="inlineStr">
        <is>
          <t>claude code analytics</t>
        </is>
      </c>
      <c r="C72" s="11" t="inlineStr">
        <is>
          <t>SEO</t>
        </is>
      </c>
      <c r="D72" s="12" t="inlineStr">
        <is>
          <t>Product guide</t>
        </is>
      </c>
      <c r="E72" s="12" t="inlineStr">
        <is>
          <t>Tool: Claude Code</t>
        </is>
      </c>
      <c r="F72" s="13" t="n"/>
      <c r="G72" s="13" t="n"/>
      <c r="H72" s="14" t="n"/>
      <c r="I72" s="12" t="inlineStr">
        <is>
          <t>Commercial</t>
        </is>
      </c>
      <c r="J72" s="15" t="n">
        <v>3</v>
      </c>
      <c r="K72" s="16">
        <f>IF(I72="","",IF(I72="Transactional",3,IF(I72="Commercial",2,1)))</f>
        <v/>
      </c>
      <c r="L72" s="16">
        <f>IF(G72="","",IF(G72&lt;=20,3,IF(G72&lt;=50,2,1)))</f>
        <v/>
      </c>
      <c r="M72" s="16">
        <f>IF(OR(J72="",K72="",L72=""),"",J72+K72+L72)</f>
        <v/>
      </c>
      <c r="N72" s="11" t="inlineStr">
        <is>
          <t>Main</t>
        </is>
      </c>
      <c r="O72" s="12" t="inlineStr">
        <is>
          <t>/integrations/claude-code</t>
        </is>
      </c>
      <c r="P72" s="12" t="inlineStr">
        <is>
          <t>Integration</t>
        </is>
      </c>
      <c r="Q72" s="14" t="n"/>
      <c r="R72" s="14" t="n"/>
      <c r="S72" s="14" t="n"/>
      <c r="T72" s="12" t="inlineStr">
        <is>
          <t>Not started</t>
        </is>
      </c>
      <c r="U72" s="12" t="inlineStr">
        <is>
          <t>P1 page</t>
        </is>
      </c>
    </row>
    <row r="73">
      <c r="A73" s="11" t="n">
        <v>72</v>
      </c>
      <c r="B73" s="12" t="inlineStr">
        <is>
          <t>claude code team usage</t>
        </is>
      </c>
      <c r="C73" s="11" t="inlineStr">
        <is>
          <t>SEO</t>
        </is>
      </c>
      <c r="D73" s="12" t="inlineStr">
        <is>
          <t>Product guide</t>
        </is>
      </c>
      <c r="E73" s="12" t="inlineStr">
        <is>
          <t>Tool: Claude Code</t>
        </is>
      </c>
      <c r="F73" s="13" t="n"/>
      <c r="G73" s="13" t="n"/>
      <c r="H73" s="14" t="n"/>
      <c r="I73" s="12" t="inlineStr">
        <is>
          <t>Commercial</t>
        </is>
      </c>
      <c r="J73" s="15" t="n">
        <v>3</v>
      </c>
      <c r="K73" s="16">
        <f>IF(I73="","",IF(I73="Transactional",3,IF(I73="Commercial",2,1)))</f>
        <v/>
      </c>
      <c r="L73" s="16">
        <f>IF(G73="","",IF(G73&lt;=20,3,IF(G73&lt;=50,2,1)))</f>
        <v/>
      </c>
      <c r="M73" s="16">
        <f>IF(OR(J73="",K73="",L73=""),"",J73+K73+L73)</f>
        <v/>
      </c>
      <c r="N73" s="11" t="inlineStr">
        <is>
          <t>Secondary</t>
        </is>
      </c>
      <c r="O73" s="12" t="inlineStr">
        <is>
          <t>/integrations/claude-code</t>
        </is>
      </c>
      <c r="P73" s="12" t="inlineStr">
        <is>
          <t>Integration</t>
        </is>
      </c>
      <c r="Q73" s="14" t="n"/>
      <c r="R73" s="14" t="n"/>
      <c r="S73" s="14" t="n"/>
      <c r="T73" s="12" t="inlineStr">
        <is>
          <t>Not started</t>
        </is>
      </c>
      <c r="U73" s="12" t="inlineStr"/>
    </row>
    <row r="74">
      <c r="A74" s="11" t="n">
        <v>73</v>
      </c>
      <c r="B74" s="12" t="inlineStr">
        <is>
          <t>claude code usage tracking</t>
        </is>
      </c>
      <c r="C74" s="11" t="inlineStr">
        <is>
          <t>SEO</t>
        </is>
      </c>
      <c r="D74" s="12" t="inlineStr">
        <is>
          <t>Product guide</t>
        </is>
      </c>
      <c r="E74" s="12" t="inlineStr">
        <is>
          <t>Tool: Claude Code</t>
        </is>
      </c>
      <c r="F74" s="13" t="n"/>
      <c r="G74" s="13" t="n"/>
      <c r="H74" s="14" t="n"/>
      <c r="I74" s="12" t="inlineStr">
        <is>
          <t>Commercial</t>
        </is>
      </c>
      <c r="J74" s="15" t="n">
        <v>3</v>
      </c>
      <c r="K74" s="16">
        <f>IF(I74="","",IF(I74="Transactional",3,IF(I74="Commercial",2,1)))</f>
        <v/>
      </c>
      <c r="L74" s="16">
        <f>IF(G74="","",IF(G74&lt;=20,3,IF(G74&lt;=50,2,1)))</f>
        <v/>
      </c>
      <c r="M74" s="16">
        <f>IF(OR(J74="",K74="",L74=""),"",J74+K74+L74)</f>
        <v/>
      </c>
      <c r="N74" s="11" t="inlineStr">
        <is>
          <t>Secondary</t>
        </is>
      </c>
      <c r="O74" s="12" t="inlineStr">
        <is>
          <t>/integrations/claude-code</t>
        </is>
      </c>
      <c r="P74" s="12" t="inlineStr">
        <is>
          <t>Integration</t>
        </is>
      </c>
      <c r="Q74" s="14" t="n"/>
      <c r="R74" s="14" t="n"/>
      <c r="S74" s="14" t="n"/>
      <c r="T74" s="12" t="inlineStr">
        <is>
          <t>Not started</t>
        </is>
      </c>
      <c r="U74" s="12" t="inlineStr"/>
    </row>
    <row r="75">
      <c r="A75" s="11" t="n">
        <v>74</v>
      </c>
      <c r="B75" s="12" t="inlineStr">
        <is>
          <t>claude code cost per developer</t>
        </is>
      </c>
      <c r="C75" s="11" t="inlineStr">
        <is>
          <t>SEO</t>
        </is>
      </c>
      <c r="D75" s="12" t="inlineStr">
        <is>
          <t>Product guide</t>
        </is>
      </c>
      <c r="E75" s="12" t="inlineStr">
        <is>
          <t>Tool: Claude Code</t>
        </is>
      </c>
      <c r="F75" s="13" t="n"/>
      <c r="G75" s="13" t="n"/>
      <c r="H75" s="14" t="n"/>
      <c r="I75" s="12" t="inlineStr">
        <is>
          <t>Commercial</t>
        </is>
      </c>
      <c r="J75" s="15" t="n">
        <v>3</v>
      </c>
      <c r="K75" s="16">
        <f>IF(I75="","",IF(I75="Transactional",3,IF(I75="Commercial",2,1)))</f>
        <v/>
      </c>
      <c r="L75" s="16">
        <f>IF(G75="","",IF(G75&lt;=20,3,IF(G75&lt;=50,2,1)))</f>
        <v/>
      </c>
      <c r="M75" s="16">
        <f>IF(OR(J75="",K75="",L75=""),"",J75+K75+L75)</f>
        <v/>
      </c>
      <c r="N75" s="11" t="inlineStr">
        <is>
          <t>Secondary</t>
        </is>
      </c>
      <c r="O75" s="12" t="inlineStr">
        <is>
          <t>/integrations/claude-code</t>
        </is>
      </c>
      <c r="P75" s="12" t="inlineStr">
        <is>
          <t>Integration</t>
        </is>
      </c>
      <c r="Q75" s="14" t="n"/>
      <c r="R75" s="14" t="n"/>
      <c r="S75" s="14" t="n"/>
      <c r="T75" s="12" t="inlineStr">
        <is>
          <t>Not started</t>
        </is>
      </c>
      <c r="U75" s="12" t="inlineStr"/>
    </row>
    <row r="76">
      <c r="A76" s="11" t="n">
        <v>75</v>
      </c>
      <c r="B76" s="12" t="inlineStr">
        <is>
          <t>codex usage tracking</t>
        </is>
      </c>
      <c r="C76" s="11" t="inlineStr">
        <is>
          <t>SEO</t>
        </is>
      </c>
      <c r="D76" s="12" t="inlineStr">
        <is>
          <t>Product guide</t>
        </is>
      </c>
      <c r="E76" s="12" t="inlineStr">
        <is>
          <t>Tool: Codex</t>
        </is>
      </c>
      <c r="F76" s="13" t="n"/>
      <c r="G76" s="13" t="n"/>
      <c r="H76" s="14" t="n"/>
      <c r="I76" s="12" t="inlineStr">
        <is>
          <t>Commercial</t>
        </is>
      </c>
      <c r="J76" s="15" t="n">
        <v>3</v>
      </c>
      <c r="K76" s="16">
        <f>IF(I76="","",IF(I76="Transactional",3,IF(I76="Commercial",2,1)))</f>
        <v/>
      </c>
      <c r="L76" s="16">
        <f>IF(G76="","",IF(G76&lt;=20,3,IF(G76&lt;=50,2,1)))</f>
        <v/>
      </c>
      <c r="M76" s="16">
        <f>IF(OR(J76="",K76="",L76=""),"",J76+K76+L76)</f>
        <v/>
      </c>
      <c r="N76" s="11" t="inlineStr">
        <is>
          <t>Main</t>
        </is>
      </c>
      <c r="O76" s="12" t="inlineStr">
        <is>
          <t>/integrations/codex</t>
        </is>
      </c>
      <c r="P76" s="12" t="inlineStr">
        <is>
          <t>Integration</t>
        </is>
      </c>
      <c r="Q76" s="14" t="n"/>
      <c r="R76" s="14" t="n"/>
      <c r="S76" s="14" t="n"/>
      <c r="T76" s="12" t="inlineStr">
        <is>
          <t>Not started</t>
        </is>
      </c>
      <c r="U76" s="12" t="inlineStr">
        <is>
          <t>P1 page</t>
        </is>
      </c>
    </row>
    <row r="77">
      <c r="A77" s="11" t="n">
        <v>76</v>
      </c>
      <c r="B77" s="12" t="inlineStr">
        <is>
          <t>openai codex team usage</t>
        </is>
      </c>
      <c r="C77" s="11" t="inlineStr">
        <is>
          <t>SEO</t>
        </is>
      </c>
      <c r="D77" s="12" t="inlineStr">
        <is>
          <t>Product guide</t>
        </is>
      </c>
      <c r="E77" s="12" t="inlineStr">
        <is>
          <t>Tool: Codex</t>
        </is>
      </c>
      <c r="F77" s="13" t="n"/>
      <c r="G77" s="13" t="n"/>
      <c r="H77" s="14" t="n"/>
      <c r="I77" s="12" t="inlineStr">
        <is>
          <t>Commercial</t>
        </is>
      </c>
      <c r="J77" s="15" t="n">
        <v>3</v>
      </c>
      <c r="K77" s="16">
        <f>IF(I77="","",IF(I77="Transactional",3,IF(I77="Commercial",2,1)))</f>
        <v/>
      </c>
      <c r="L77" s="16">
        <f>IF(G77="","",IF(G77&lt;=20,3,IF(G77&lt;=50,2,1)))</f>
        <v/>
      </c>
      <c r="M77" s="16">
        <f>IF(OR(J77="",K77="",L77=""),"",J77+K77+L77)</f>
        <v/>
      </c>
      <c r="N77" s="11" t="inlineStr">
        <is>
          <t>Secondary</t>
        </is>
      </c>
      <c r="O77" s="12" t="inlineStr">
        <is>
          <t>/integrations/codex</t>
        </is>
      </c>
      <c r="P77" s="12" t="inlineStr">
        <is>
          <t>Integration</t>
        </is>
      </c>
      <c r="Q77" s="14" t="n"/>
      <c r="R77" s="14" t="n"/>
      <c r="S77" s="14" t="n"/>
      <c r="T77" s="12" t="inlineStr">
        <is>
          <t>Not started</t>
        </is>
      </c>
      <c r="U77" s="12" t="inlineStr"/>
    </row>
    <row r="78">
      <c r="A78" s="11" t="n">
        <v>77</v>
      </c>
      <c r="B78" s="12" t="inlineStr">
        <is>
          <t>codex analytics</t>
        </is>
      </c>
      <c r="C78" s="11" t="inlineStr">
        <is>
          <t>SEO</t>
        </is>
      </c>
      <c r="D78" s="12" t="inlineStr">
        <is>
          <t>Product guide</t>
        </is>
      </c>
      <c r="E78" s="12" t="inlineStr">
        <is>
          <t>Tool: Codex</t>
        </is>
      </c>
      <c r="F78" s="13" t="n"/>
      <c r="G78" s="13" t="n"/>
      <c r="H78" s="14" t="n"/>
      <c r="I78" s="12" t="inlineStr">
        <is>
          <t>Commercial</t>
        </is>
      </c>
      <c r="J78" s="15" t="n">
        <v>3</v>
      </c>
      <c r="K78" s="16">
        <f>IF(I78="","",IF(I78="Transactional",3,IF(I78="Commercial",2,1)))</f>
        <v/>
      </c>
      <c r="L78" s="16">
        <f>IF(G78="","",IF(G78&lt;=20,3,IF(G78&lt;=50,2,1)))</f>
        <v/>
      </c>
      <c r="M78" s="16">
        <f>IF(OR(J78="",K78="",L78=""),"",J78+K78+L78)</f>
        <v/>
      </c>
      <c r="N78" s="11" t="inlineStr">
        <is>
          <t>Secondary</t>
        </is>
      </c>
      <c r="O78" s="12" t="inlineStr">
        <is>
          <t>/integrations/codex</t>
        </is>
      </c>
      <c r="P78" s="12" t="inlineStr">
        <is>
          <t>Integration</t>
        </is>
      </c>
      <c r="Q78" s="14" t="n"/>
      <c r="R78" s="14" t="n"/>
      <c r="S78" s="14" t="n"/>
      <c r="T78" s="12" t="inlineStr">
        <is>
          <t>Not started</t>
        </is>
      </c>
      <c r="U78" s="12" t="inlineStr"/>
    </row>
    <row r="79">
      <c r="A79" s="11" t="n">
        <v>78</v>
      </c>
      <c r="B79" s="12" t="inlineStr">
        <is>
          <t>codex cost per developer</t>
        </is>
      </c>
      <c r="C79" s="11" t="inlineStr">
        <is>
          <t>SEO</t>
        </is>
      </c>
      <c r="D79" s="12" t="inlineStr">
        <is>
          <t>Product guide</t>
        </is>
      </c>
      <c r="E79" s="12" t="inlineStr">
        <is>
          <t>Tool: Codex</t>
        </is>
      </c>
      <c r="F79" s="13" t="n"/>
      <c r="G79" s="13" t="n"/>
      <c r="H79" s="14" t="n"/>
      <c r="I79" s="12" t="inlineStr">
        <is>
          <t>Commercial</t>
        </is>
      </c>
      <c r="J79" s="15" t="n">
        <v>3</v>
      </c>
      <c r="K79" s="16">
        <f>IF(I79="","",IF(I79="Transactional",3,IF(I79="Commercial",2,1)))</f>
        <v/>
      </c>
      <c r="L79" s="16">
        <f>IF(G79="","",IF(G79&lt;=20,3,IF(G79&lt;=50,2,1)))</f>
        <v/>
      </c>
      <c r="M79" s="16">
        <f>IF(OR(J79="",K79="",L79=""),"",J79+K79+L79)</f>
        <v/>
      </c>
      <c r="N79" s="11" t="inlineStr">
        <is>
          <t>Secondary</t>
        </is>
      </c>
      <c r="O79" s="12" t="inlineStr">
        <is>
          <t>/integrations/codex</t>
        </is>
      </c>
      <c r="P79" s="12" t="inlineStr">
        <is>
          <t>Integration</t>
        </is>
      </c>
      <c r="Q79" s="14" t="n"/>
      <c r="R79" s="14" t="n"/>
      <c r="S79" s="14" t="n"/>
      <c r="T79" s="12" t="inlineStr">
        <is>
          <t>Not started</t>
        </is>
      </c>
      <c r="U79" s="12" t="inlineStr"/>
    </row>
    <row r="80">
      <c r="A80" s="11" t="n">
        <v>79</v>
      </c>
      <c r="B80" s="12" t="inlineStr">
        <is>
          <t>gemini cli usage tracking</t>
        </is>
      </c>
      <c r="C80" s="11" t="inlineStr">
        <is>
          <t>SEO</t>
        </is>
      </c>
      <c r="D80" s="12" t="inlineStr">
        <is>
          <t>Product guide</t>
        </is>
      </c>
      <c r="E80" s="12" t="inlineStr">
        <is>
          <t>Tool: Gemini CLI</t>
        </is>
      </c>
      <c r="F80" s="13" t="n"/>
      <c r="G80" s="13" t="n"/>
      <c r="H80" s="14" t="n"/>
      <c r="I80" s="12" t="inlineStr">
        <is>
          <t>Commercial</t>
        </is>
      </c>
      <c r="J80" s="15" t="n">
        <v>3</v>
      </c>
      <c r="K80" s="16">
        <f>IF(I80="","",IF(I80="Transactional",3,IF(I80="Commercial",2,1)))</f>
        <v/>
      </c>
      <c r="L80" s="16">
        <f>IF(G80="","",IF(G80&lt;=20,3,IF(G80&lt;=50,2,1)))</f>
        <v/>
      </c>
      <c r="M80" s="16">
        <f>IF(OR(J80="",K80="",L80=""),"",J80+K80+L80)</f>
        <v/>
      </c>
      <c r="N80" s="11" t="inlineStr">
        <is>
          <t>Main</t>
        </is>
      </c>
      <c r="O80" s="12" t="inlineStr">
        <is>
          <t>/integrations/gemini-cli</t>
        </is>
      </c>
      <c r="P80" s="12" t="inlineStr">
        <is>
          <t>Integration</t>
        </is>
      </c>
      <c r="Q80" s="14" t="n"/>
      <c r="R80" s="14" t="n"/>
      <c r="S80" s="14" t="n"/>
      <c r="T80" s="12" t="inlineStr">
        <is>
          <t>Not started</t>
        </is>
      </c>
      <c r="U80" s="12" t="inlineStr">
        <is>
          <t>P1 page</t>
        </is>
      </c>
    </row>
    <row r="81">
      <c r="A81" s="11" t="n">
        <v>80</v>
      </c>
      <c r="B81" s="12" t="inlineStr">
        <is>
          <t>gemini cli analytics</t>
        </is>
      </c>
      <c r="C81" s="11" t="inlineStr">
        <is>
          <t>SEO</t>
        </is>
      </c>
      <c r="D81" s="12" t="inlineStr">
        <is>
          <t>Product guide</t>
        </is>
      </c>
      <c r="E81" s="12" t="inlineStr">
        <is>
          <t>Tool: Gemini CLI</t>
        </is>
      </c>
      <c r="F81" s="13" t="n"/>
      <c r="G81" s="13" t="n"/>
      <c r="H81" s="14" t="n"/>
      <c r="I81" s="12" t="inlineStr">
        <is>
          <t>Commercial</t>
        </is>
      </c>
      <c r="J81" s="15" t="n">
        <v>3</v>
      </c>
      <c r="K81" s="16">
        <f>IF(I81="","",IF(I81="Transactional",3,IF(I81="Commercial",2,1)))</f>
        <v/>
      </c>
      <c r="L81" s="16">
        <f>IF(G81="","",IF(G81&lt;=20,3,IF(G81&lt;=50,2,1)))</f>
        <v/>
      </c>
      <c r="M81" s="16">
        <f>IF(OR(J81="",K81="",L81=""),"",J81+K81+L81)</f>
        <v/>
      </c>
      <c r="N81" s="11" t="inlineStr">
        <is>
          <t>Secondary</t>
        </is>
      </c>
      <c r="O81" s="12" t="inlineStr">
        <is>
          <t>/integrations/gemini-cli</t>
        </is>
      </c>
      <c r="P81" s="12" t="inlineStr">
        <is>
          <t>Integration</t>
        </is>
      </c>
      <c r="Q81" s="14" t="n"/>
      <c r="R81" s="14" t="n"/>
      <c r="S81" s="14" t="n"/>
      <c r="T81" s="12" t="inlineStr">
        <is>
          <t>Not started</t>
        </is>
      </c>
      <c r="U81" s="12" t="inlineStr"/>
    </row>
    <row r="82">
      <c r="A82" s="11" t="n">
        <v>81</v>
      </c>
      <c r="B82" s="12" t="inlineStr">
        <is>
          <t>gemini cli team usage</t>
        </is>
      </c>
      <c r="C82" s="11" t="inlineStr">
        <is>
          <t>SEO</t>
        </is>
      </c>
      <c r="D82" s="12" t="inlineStr">
        <is>
          <t>Product guide</t>
        </is>
      </c>
      <c r="E82" s="12" t="inlineStr">
        <is>
          <t>Tool: Gemini CLI</t>
        </is>
      </c>
      <c r="F82" s="13" t="n"/>
      <c r="G82" s="13" t="n"/>
      <c r="H82" s="14" t="n"/>
      <c r="I82" s="12" t="inlineStr">
        <is>
          <t>Commercial</t>
        </is>
      </c>
      <c r="J82" s="15" t="n">
        <v>3</v>
      </c>
      <c r="K82" s="16">
        <f>IF(I82="","",IF(I82="Transactional",3,IF(I82="Commercial",2,1)))</f>
        <v/>
      </c>
      <c r="L82" s="16">
        <f>IF(G82="","",IF(G82&lt;=20,3,IF(G82&lt;=50,2,1)))</f>
        <v/>
      </c>
      <c r="M82" s="16">
        <f>IF(OR(J82="",K82="",L82=""),"",J82+K82+L82)</f>
        <v/>
      </c>
      <c r="N82" s="11" t="inlineStr">
        <is>
          <t>Secondary</t>
        </is>
      </c>
      <c r="O82" s="12" t="inlineStr">
        <is>
          <t>/integrations/gemini-cli</t>
        </is>
      </c>
      <c r="P82" s="12" t="inlineStr">
        <is>
          <t>Integration</t>
        </is>
      </c>
      <c r="Q82" s="14" t="n"/>
      <c r="R82" s="14" t="n"/>
      <c r="S82" s="14" t="n"/>
      <c r="T82" s="12" t="inlineStr">
        <is>
          <t>Not started</t>
        </is>
      </c>
      <c r="U82" s="12" t="inlineStr"/>
    </row>
    <row r="83">
      <c r="A83" s="11" t="n">
        <v>82</v>
      </c>
      <c r="B83" s="12" t="inlineStr">
        <is>
          <t>gemini cli token usage</t>
        </is>
      </c>
      <c r="C83" s="11" t="inlineStr">
        <is>
          <t>SEO</t>
        </is>
      </c>
      <c r="D83" s="12" t="inlineStr">
        <is>
          <t>Product guide</t>
        </is>
      </c>
      <c r="E83" s="12" t="inlineStr">
        <is>
          <t>Tool: Gemini CLI</t>
        </is>
      </c>
      <c r="F83" s="13" t="n"/>
      <c r="G83" s="13" t="n"/>
      <c r="H83" s="14" t="n"/>
      <c r="I83" s="12" t="inlineStr">
        <is>
          <t>Commercial</t>
        </is>
      </c>
      <c r="J83" s="15" t="n">
        <v>3</v>
      </c>
      <c r="K83" s="16">
        <f>IF(I83="","",IF(I83="Transactional",3,IF(I83="Commercial",2,1)))</f>
        <v/>
      </c>
      <c r="L83" s="16">
        <f>IF(G83="","",IF(G83&lt;=20,3,IF(G83&lt;=50,2,1)))</f>
        <v/>
      </c>
      <c r="M83" s="16">
        <f>IF(OR(J83="",K83="",L83=""),"",J83+K83+L83)</f>
        <v/>
      </c>
      <c r="N83" s="11" t="inlineStr">
        <is>
          <t>Secondary</t>
        </is>
      </c>
      <c r="O83" s="12" t="inlineStr">
        <is>
          <t>/integrations/gemini-cli</t>
        </is>
      </c>
      <c r="P83" s="12" t="inlineStr">
        <is>
          <t>Integration</t>
        </is>
      </c>
      <c r="Q83" s="14" t="n"/>
      <c r="R83" s="14" t="n"/>
      <c r="S83" s="14" t="n"/>
      <c r="T83" s="12" t="inlineStr">
        <is>
          <t>Not started</t>
        </is>
      </c>
      <c r="U83" s="12" t="inlineStr"/>
    </row>
    <row r="84">
      <c r="A84" s="11" t="n">
        <v>83</v>
      </c>
      <c r="B84" s="12" t="inlineStr">
        <is>
          <t>cursor analytics</t>
        </is>
      </c>
      <c r="C84" s="11" t="inlineStr">
        <is>
          <t>SEO</t>
        </is>
      </c>
      <c r="D84" s="12" t="inlineStr">
        <is>
          <t>Product guide</t>
        </is>
      </c>
      <c r="E84" s="12" t="inlineStr">
        <is>
          <t>Tool: Cursor</t>
        </is>
      </c>
      <c r="F84" s="13" t="n"/>
      <c r="G84" s="13" t="n"/>
      <c r="H84" s="14" t="n"/>
      <c r="I84" s="12" t="inlineStr">
        <is>
          <t>Commercial</t>
        </is>
      </c>
      <c r="J84" s="15" t="n">
        <v>3</v>
      </c>
      <c r="K84" s="16">
        <f>IF(I84="","",IF(I84="Transactional",3,IF(I84="Commercial",2,1)))</f>
        <v/>
      </c>
      <c r="L84" s="16">
        <f>IF(G84="","",IF(G84&lt;=20,3,IF(G84&lt;=50,2,1)))</f>
        <v/>
      </c>
      <c r="M84" s="16">
        <f>IF(OR(J84="",K84="",L84=""),"",J84+K84+L84)</f>
        <v/>
      </c>
      <c r="N84" s="11" t="inlineStr">
        <is>
          <t>Main</t>
        </is>
      </c>
      <c r="O84" s="12" t="inlineStr">
        <is>
          <t>/integrations/cursor</t>
        </is>
      </c>
      <c r="P84" s="12" t="inlineStr">
        <is>
          <t>Integration</t>
        </is>
      </c>
      <c r="Q84" s="14" t="n"/>
      <c r="R84" s="14" t="n"/>
      <c r="S84" s="14" t="n"/>
      <c r="T84" s="12" t="inlineStr">
        <is>
          <t>Not started</t>
        </is>
      </c>
      <c r="U84" s="12" t="inlineStr">
        <is>
          <t>P1 page</t>
        </is>
      </c>
    </row>
    <row r="85">
      <c r="A85" s="11" t="n">
        <v>84</v>
      </c>
      <c r="B85" s="12" t="inlineStr">
        <is>
          <t>cursor team usage</t>
        </is>
      </c>
      <c r="C85" s="11" t="inlineStr">
        <is>
          <t>SEO</t>
        </is>
      </c>
      <c r="D85" s="12" t="inlineStr">
        <is>
          <t>Product guide</t>
        </is>
      </c>
      <c r="E85" s="12" t="inlineStr">
        <is>
          <t>Tool: Cursor</t>
        </is>
      </c>
      <c r="F85" s="13" t="n"/>
      <c r="G85" s="13" t="n"/>
      <c r="H85" s="14" t="n"/>
      <c r="I85" s="12" t="inlineStr">
        <is>
          <t>Commercial</t>
        </is>
      </c>
      <c r="J85" s="15" t="n">
        <v>3</v>
      </c>
      <c r="K85" s="16">
        <f>IF(I85="","",IF(I85="Transactional",3,IF(I85="Commercial",2,1)))</f>
        <v/>
      </c>
      <c r="L85" s="16">
        <f>IF(G85="","",IF(G85&lt;=20,3,IF(G85&lt;=50,2,1)))</f>
        <v/>
      </c>
      <c r="M85" s="16">
        <f>IF(OR(J85="",K85="",L85=""),"",J85+K85+L85)</f>
        <v/>
      </c>
      <c r="N85" s="11" t="inlineStr">
        <is>
          <t>Secondary</t>
        </is>
      </c>
      <c r="O85" s="12" t="inlineStr">
        <is>
          <t>/integrations/cursor</t>
        </is>
      </c>
      <c r="P85" s="12" t="inlineStr">
        <is>
          <t>Integration</t>
        </is>
      </c>
      <c r="Q85" s="14" t="n"/>
      <c r="R85" s="14" t="n"/>
      <c r="S85" s="14" t="n"/>
      <c r="T85" s="12" t="inlineStr">
        <is>
          <t>Not started</t>
        </is>
      </c>
      <c r="U85" s="12" t="inlineStr"/>
    </row>
    <row r="86">
      <c r="A86" s="11" t="n">
        <v>85</v>
      </c>
      <c r="B86" s="12" t="inlineStr">
        <is>
          <t>cursor usage dashboard</t>
        </is>
      </c>
      <c r="C86" s="11" t="inlineStr">
        <is>
          <t>SEO</t>
        </is>
      </c>
      <c r="D86" s="12" t="inlineStr">
        <is>
          <t>Product guide</t>
        </is>
      </c>
      <c r="E86" s="12" t="inlineStr">
        <is>
          <t>Tool: Cursor</t>
        </is>
      </c>
      <c r="F86" s="13" t="n"/>
      <c r="G86" s="13" t="n"/>
      <c r="H86" s="14" t="n"/>
      <c r="I86" s="12" t="inlineStr">
        <is>
          <t>Commercial</t>
        </is>
      </c>
      <c r="J86" s="15" t="n">
        <v>3</v>
      </c>
      <c r="K86" s="16">
        <f>IF(I86="","",IF(I86="Transactional",3,IF(I86="Commercial",2,1)))</f>
        <v/>
      </c>
      <c r="L86" s="16">
        <f>IF(G86="","",IF(G86&lt;=20,3,IF(G86&lt;=50,2,1)))</f>
        <v/>
      </c>
      <c r="M86" s="16">
        <f>IF(OR(J86="",K86="",L86=""),"",J86+K86+L86)</f>
        <v/>
      </c>
      <c r="N86" s="11" t="inlineStr">
        <is>
          <t>Secondary</t>
        </is>
      </c>
      <c r="O86" s="12" t="inlineStr">
        <is>
          <t>/integrations/cursor</t>
        </is>
      </c>
      <c r="P86" s="12" t="inlineStr">
        <is>
          <t>Integration</t>
        </is>
      </c>
      <c r="Q86" s="14" t="n"/>
      <c r="R86" s="14" t="n"/>
      <c r="S86" s="14" t="n"/>
      <c r="T86" s="12" t="inlineStr">
        <is>
          <t>Not started</t>
        </is>
      </c>
      <c r="U86" s="12" t="inlineStr"/>
    </row>
    <row r="87">
      <c r="A87" s="11" t="n">
        <v>86</v>
      </c>
      <c r="B87" s="12" t="inlineStr">
        <is>
          <t>cursor cost per developer</t>
        </is>
      </c>
      <c r="C87" s="11" t="inlineStr">
        <is>
          <t>SEO</t>
        </is>
      </c>
      <c r="D87" s="12" t="inlineStr">
        <is>
          <t>Product guide</t>
        </is>
      </c>
      <c r="E87" s="12" t="inlineStr">
        <is>
          <t>Tool: Cursor</t>
        </is>
      </c>
      <c r="F87" s="13" t="n"/>
      <c r="G87" s="13" t="n"/>
      <c r="H87" s="14" t="n"/>
      <c r="I87" s="12" t="inlineStr">
        <is>
          <t>Commercial</t>
        </is>
      </c>
      <c r="J87" s="15" t="n">
        <v>3</v>
      </c>
      <c r="K87" s="16">
        <f>IF(I87="","",IF(I87="Transactional",3,IF(I87="Commercial",2,1)))</f>
        <v/>
      </c>
      <c r="L87" s="16">
        <f>IF(G87="","",IF(G87&lt;=20,3,IF(G87&lt;=50,2,1)))</f>
        <v/>
      </c>
      <c r="M87" s="16">
        <f>IF(OR(J87="",K87="",L87=""),"",J87+K87+L87)</f>
        <v/>
      </c>
      <c r="N87" s="11" t="inlineStr">
        <is>
          <t>Secondary</t>
        </is>
      </c>
      <c r="O87" s="12" t="inlineStr">
        <is>
          <t>/integrations/cursor</t>
        </is>
      </c>
      <c r="P87" s="12" t="inlineStr">
        <is>
          <t>Integration</t>
        </is>
      </c>
      <c r="Q87" s="14" t="n"/>
      <c r="R87" s="14" t="n"/>
      <c r="S87" s="14" t="n"/>
      <c r="T87" s="12" t="inlineStr">
        <is>
          <t>Not started</t>
        </is>
      </c>
      <c r="U87" s="12" t="inlineStr"/>
    </row>
    <row r="88">
      <c r="A88" s="11" t="n">
        <v>87</v>
      </c>
      <c r="B88" s="12" t="inlineStr">
        <is>
          <t>copilot metrics</t>
        </is>
      </c>
      <c r="C88" s="11" t="inlineStr">
        <is>
          <t>SEO</t>
        </is>
      </c>
      <c r="D88" s="12" t="inlineStr">
        <is>
          <t>Product guide</t>
        </is>
      </c>
      <c r="E88" s="12" t="inlineStr">
        <is>
          <t>Tool: GitHub Copilot</t>
        </is>
      </c>
      <c r="F88" s="13" t="n"/>
      <c r="G88" s="13" t="n"/>
      <c r="H88" s="14" t="n"/>
      <c r="I88" s="12" t="inlineStr">
        <is>
          <t>Commercial</t>
        </is>
      </c>
      <c r="J88" s="15" t="n">
        <v>3</v>
      </c>
      <c r="K88" s="16">
        <f>IF(I88="","",IF(I88="Transactional",3,IF(I88="Commercial",2,1)))</f>
        <v/>
      </c>
      <c r="L88" s="16">
        <f>IF(G88="","",IF(G88&lt;=20,3,IF(G88&lt;=50,2,1)))</f>
        <v/>
      </c>
      <c r="M88" s="16">
        <f>IF(OR(J88="",K88="",L88=""),"",J88+K88+L88)</f>
        <v/>
      </c>
      <c r="N88" s="11" t="inlineStr">
        <is>
          <t>Main</t>
        </is>
      </c>
      <c r="O88" s="12" t="inlineStr">
        <is>
          <t>/integrations/github-copilot</t>
        </is>
      </c>
      <c r="P88" s="12" t="inlineStr">
        <is>
          <t>Integration</t>
        </is>
      </c>
      <c r="Q88" s="14" t="n"/>
      <c r="R88" s="14" t="n"/>
      <c r="S88" s="14" t="n"/>
      <c r="T88" s="12" t="inlineStr">
        <is>
          <t>Not started</t>
        </is>
      </c>
      <c r="U88" s="12" t="inlineStr">
        <is>
          <t>P1 page</t>
        </is>
      </c>
    </row>
    <row r="89">
      <c r="A89" s="11" t="n">
        <v>88</v>
      </c>
      <c r="B89" s="12" t="inlineStr">
        <is>
          <t>copilot usage per developer</t>
        </is>
      </c>
      <c r="C89" s="11" t="inlineStr">
        <is>
          <t>SEO</t>
        </is>
      </c>
      <c r="D89" s="12" t="inlineStr">
        <is>
          <t>Product guide</t>
        </is>
      </c>
      <c r="E89" s="12" t="inlineStr">
        <is>
          <t>Tool: GitHub Copilot</t>
        </is>
      </c>
      <c r="F89" s="13" t="n"/>
      <c r="G89" s="13" t="n"/>
      <c r="H89" s="14" t="n"/>
      <c r="I89" s="12" t="inlineStr">
        <is>
          <t>Commercial</t>
        </is>
      </c>
      <c r="J89" s="15" t="n">
        <v>3</v>
      </c>
      <c r="K89" s="16">
        <f>IF(I89="","",IF(I89="Transactional",3,IF(I89="Commercial",2,1)))</f>
        <v/>
      </c>
      <c r="L89" s="16">
        <f>IF(G89="","",IF(G89&lt;=20,3,IF(G89&lt;=50,2,1)))</f>
        <v/>
      </c>
      <c r="M89" s="16">
        <f>IF(OR(J89="",K89="",L89=""),"",J89+K89+L89)</f>
        <v/>
      </c>
      <c r="N89" s="11" t="inlineStr">
        <is>
          <t>Secondary</t>
        </is>
      </c>
      <c r="O89" s="12" t="inlineStr">
        <is>
          <t>/integrations/github-copilot</t>
        </is>
      </c>
      <c r="P89" s="12" t="inlineStr">
        <is>
          <t>Integration</t>
        </is>
      </c>
      <c r="Q89" s="14" t="n"/>
      <c r="R89" s="14" t="n"/>
      <c r="S89" s="14" t="n"/>
      <c r="T89" s="12" t="inlineStr">
        <is>
          <t>Not started</t>
        </is>
      </c>
      <c r="U89" s="12" t="inlineStr"/>
    </row>
    <row r="90">
      <c r="A90" s="11" t="n">
        <v>89</v>
      </c>
      <c r="B90" s="12" t="inlineStr">
        <is>
          <t>copilot usage dashboard</t>
        </is>
      </c>
      <c r="C90" s="11" t="inlineStr">
        <is>
          <t>SEO</t>
        </is>
      </c>
      <c r="D90" s="12" t="inlineStr">
        <is>
          <t>Product guide</t>
        </is>
      </c>
      <c r="E90" s="12" t="inlineStr">
        <is>
          <t>Tool: GitHub Copilot</t>
        </is>
      </c>
      <c r="F90" s="13" t="n"/>
      <c r="G90" s="13" t="n"/>
      <c r="H90" s="14" t="n"/>
      <c r="I90" s="12" t="inlineStr">
        <is>
          <t>Commercial</t>
        </is>
      </c>
      <c r="J90" s="15" t="n">
        <v>3</v>
      </c>
      <c r="K90" s="16">
        <f>IF(I90="","",IF(I90="Transactional",3,IF(I90="Commercial",2,1)))</f>
        <v/>
      </c>
      <c r="L90" s="16">
        <f>IF(G90="","",IF(G90&lt;=20,3,IF(G90&lt;=50,2,1)))</f>
        <v/>
      </c>
      <c r="M90" s="16">
        <f>IF(OR(J90="",K90="",L90=""),"",J90+K90+L90)</f>
        <v/>
      </c>
      <c r="N90" s="11" t="inlineStr">
        <is>
          <t>Secondary</t>
        </is>
      </c>
      <c r="O90" s="12" t="inlineStr">
        <is>
          <t>/integrations/github-copilot</t>
        </is>
      </c>
      <c r="P90" s="12" t="inlineStr">
        <is>
          <t>Integration</t>
        </is>
      </c>
      <c r="Q90" s="14" t="n"/>
      <c r="R90" s="14" t="n"/>
      <c r="S90" s="14" t="n"/>
      <c r="T90" s="12" t="inlineStr">
        <is>
          <t>Not started</t>
        </is>
      </c>
      <c r="U90" s="12" t="inlineStr"/>
    </row>
    <row r="91">
      <c r="A91" s="11" t="n">
        <v>90</v>
      </c>
      <c r="B91" s="12" t="inlineStr">
        <is>
          <t>github copilot analytics</t>
        </is>
      </c>
      <c r="C91" s="11" t="inlineStr">
        <is>
          <t>SEO</t>
        </is>
      </c>
      <c r="D91" s="12" t="inlineStr">
        <is>
          <t>Product guide</t>
        </is>
      </c>
      <c r="E91" s="12" t="inlineStr">
        <is>
          <t>Tool: GitHub Copilot</t>
        </is>
      </c>
      <c r="F91" s="13" t="n"/>
      <c r="G91" s="13" t="n"/>
      <c r="H91" s="14" t="n"/>
      <c r="I91" s="12" t="inlineStr">
        <is>
          <t>Commercial</t>
        </is>
      </c>
      <c r="J91" s="15" t="n">
        <v>3</v>
      </c>
      <c r="K91" s="16">
        <f>IF(I91="","",IF(I91="Transactional",3,IF(I91="Commercial",2,1)))</f>
        <v/>
      </c>
      <c r="L91" s="16">
        <f>IF(G91="","",IF(G91&lt;=20,3,IF(G91&lt;=50,2,1)))</f>
        <v/>
      </c>
      <c r="M91" s="16">
        <f>IF(OR(J91="",K91="",L91=""),"",J91+K91+L91)</f>
        <v/>
      </c>
      <c r="N91" s="11" t="inlineStr">
        <is>
          <t>Secondary</t>
        </is>
      </c>
      <c r="O91" s="12" t="inlineStr">
        <is>
          <t>/integrations/github-copilot</t>
        </is>
      </c>
      <c r="P91" s="12" t="inlineStr">
        <is>
          <t>Integration</t>
        </is>
      </c>
      <c r="Q91" s="14" t="n"/>
      <c r="R91" s="14" t="n"/>
      <c r="S91" s="14" t="n"/>
      <c r="T91" s="12" t="inlineStr">
        <is>
          <t>Not started</t>
        </is>
      </c>
      <c r="U91" s="12" t="inlineStr"/>
    </row>
    <row r="92">
      <c r="A92" s="11" t="n">
        <v>91</v>
      </c>
      <c r="B92" s="12" t="inlineStr">
        <is>
          <t>cline usage tracking</t>
        </is>
      </c>
      <c r="C92" s="11" t="inlineStr">
        <is>
          <t>SEO</t>
        </is>
      </c>
      <c r="D92" s="12" t="inlineStr">
        <is>
          <t>Product guide</t>
        </is>
      </c>
      <c r="E92" s="12" t="inlineStr">
        <is>
          <t>Tool: Cline</t>
        </is>
      </c>
      <c r="F92" s="13" t="n"/>
      <c r="G92" s="13" t="n"/>
      <c r="H92" s="14" t="n"/>
      <c r="I92" s="12" t="inlineStr">
        <is>
          <t>Commercial</t>
        </is>
      </c>
      <c r="J92" s="15" t="n">
        <v>3</v>
      </c>
      <c r="K92" s="16">
        <f>IF(I92="","",IF(I92="Transactional",3,IF(I92="Commercial",2,1)))</f>
        <v/>
      </c>
      <c r="L92" s="16">
        <f>IF(G92="","",IF(G92&lt;=20,3,IF(G92&lt;=50,2,1)))</f>
        <v/>
      </c>
      <c r="M92" s="16">
        <f>IF(OR(J92="",K92="",L92=""),"",J92+K92+L92)</f>
        <v/>
      </c>
      <c r="N92" s="11" t="inlineStr">
        <is>
          <t>Main</t>
        </is>
      </c>
      <c r="O92" s="12" t="inlineStr">
        <is>
          <t>/integrations/cline</t>
        </is>
      </c>
      <c r="P92" s="12" t="inlineStr">
        <is>
          <t>Integration</t>
        </is>
      </c>
      <c r="Q92" s="14" t="n"/>
      <c r="R92" s="14" t="n"/>
      <c r="S92" s="14" t="n"/>
      <c r="T92" s="12" t="inlineStr">
        <is>
          <t>Not started</t>
        </is>
      </c>
      <c r="U92" s="12" t="inlineStr"/>
    </row>
    <row r="93">
      <c r="A93" s="11" t="n">
        <v>92</v>
      </c>
      <c r="B93" s="12" t="inlineStr">
        <is>
          <t>cline token usage</t>
        </is>
      </c>
      <c r="C93" s="11" t="inlineStr">
        <is>
          <t>SEO</t>
        </is>
      </c>
      <c r="D93" s="12" t="inlineStr">
        <is>
          <t>Product guide</t>
        </is>
      </c>
      <c r="E93" s="12" t="inlineStr">
        <is>
          <t>Tool: Cline</t>
        </is>
      </c>
      <c r="F93" s="13" t="n"/>
      <c r="G93" s="13" t="n"/>
      <c r="H93" s="14" t="n"/>
      <c r="I93" s="12" t="inlineStr">
        <is>
          <t>Commercial</t>
        </is>
      </c>
      <c r="J93" s="15" t="n">
        <v>3</v>
      </c>
      <c r="K93" s="16">
        <f>IF(I93="","",IF(I93="Transactional",3,IF(I93="Commercial",2,1)))</f>
        <v/>
      </c>
      <c r="L93" s="16">
        <f>IF(G93="","",IF(G93&lt;=20,3,IF(G93&lt;=50,2,1)))</f>
        <v/>
      </c>
      <c r="M93" s="16">
        <f>IF(OR(J93="",K93="",L93=""),"",J93+K93+L93)</f>
        <v/>
      </c>
      <c r="N93" s="11" t="inlineStr">
        <is>
          <t>Secondary</t>
        </is>
      </c>
      <c r="O93" s="12" t="inlineStr">
        <is>
          <t>/integrations/cline</t>
        </is>
      </c>
      <c r="P93" s="12" t="inlineStr">
        <is>
          <t>Integration</t>
        </is>
      </c>
      <c r="Q93" s="14" t="n"/>
      <c r="R93" s="14" t="n"/>
      <c r="S93" s="14" t="n"/>
      <c r="T93" s="12" t="inlineStr">
        <is>
          <t>Not started</t>
        </is>
      </c>
      <c r="U93" s="12" t="inlineStr"/>
    </row>
    <row r="94">
      <c r="A94" s="11" t="n">
        <v>93</v>
      </c>
      <c r="B94" s="12" t="inlineStr">
        <is>
          <t>cline analytics</t>
        </is>
      </c>
      <c r="C94" s="11" t="inlineStr">
        <is>
          <t>SEO</t>
        </is>
      </c>
      <c r="D94" s="12" t="inlineStr">
        <is>
          <t>Product guide</t>
        </is>
      </c>
      <c r="E94" s="12" t="inlineStr">
        <is>
          <t>Tool: Cline</t>
        </is>
      </c>
      <c r="F94" s="13" t="n"/>
      <c r="G94" s="13" t="n"/>
      <c r="H94" s="14" t="n"/>
      <c r="I94" s="12" t="inlineStr">
        <is>
          <t>Commercial</t>
        </is>
      </c>
      <c r="J94" s="15" t="n">
        <v>3</v>
      </c>
      <c r="K94" s="16">
        <f>IF(I94="","",IF(I94="Transactional",3,IF(I94="Commercial",2,1)))</f>
        <v/>
      </c>
      <c r="L94" s="16">
        <f>IF(G94="","",IF(G94&lt;=20,3,IF(G94&lt;=50,2,1)))</f>
        <v/>
      </c>
      <c r="M94" s="16">
        <f>IF(OR(J94="",K94="",L94=""),"",J94+K94+L94)</f>
        <v/>
      </c>
      <c r="N94" s="11" t="inlineStr">
        <is>
          <t>Secondary</t>
        </is>
      </c>
      <c r="O94" s="12" t="inlineStr">
        <is>
          <t>/integrations/cline</t>
        </is>
      </c>
      <c r="P94" s="12" t="inlineStr">
        <is>
          <t>Integration</t>
        </is>
      </c>
      <c r="Q94" s="14" t="n"/>
      <c r="R94" s="14" t="n"/>
      <c r="S94" s="14" t="n"/>
      <c r="T94" s="12" t="inlineStr">
        <is>
          <t>Not started</t>
        </is>
      </c>
      <c r="U94" s="12" t="inlineStr"/>
    </row>
    <row r="95">
      <c r="A95" s="11" t="n">
        <v>94</v>
      </c>
      <c r="B95" s="12" t="inlineStr">
        <is>
          <t>cline team</t>
        </is>
      </c>
      <c r="C95" s="11" t="inlineStr">
        <is>
          <t>SEO</t>
        </is>
      </c>
      <c r="D95" s="12" t="inlineStr">
        <is>
          <t>Product guide</t>
        </is>
      </c>
      <c r="E95" s="12" t="inlineStr">
        <is>
          <t>Tool: Cline</t>
        </is>
      </c>
      <c r="F95" s="13" t="n"/>
      <c r="G95" s="13" t="n"/>
      <c r="H95" s="14" t="n"/>
      <c r="I95" s="12" t="inlineStr">
        <is>
          <t>Commercial</t>
        </is>
      </c>
      <c r="J95" s="15" t="n">
        <v>3</v>
      </c>
      <c r="K95" s="16">
        <f>IF(I95="","",IF(I95="Transactional",3,IF(I95="Commercial",2,1)))</f>
        <v/>
      </c>
      <c r="L95" s="16">
        <f>IF(G95="","",IF(G95&lt;=20,3,IF(G95&lt;=50,2,1)))</f>
        <v/>
      </c>
      <c r="M95" s="16">
        <f>IF(OR(J95="",K95="",L95=""),"",J95+K95+L95)</f>
        <v/>
      </c>
      <c r="N95" s="11" t="inlineStr">
        <is>
          <t>Secondary</t>
        </is>
      </c>
      <c r="O95" s="12" t="inlineStr">
        <is>
          <t>/integrations/cline</t>
        </is>
      </c>
      <c r="P95" s="12" t="inlineStr">
        <is>
          <t>Integration</t>
        </is>
      </c>
      <c r="Q95" s="14" t="n"/>
      <c r="R95" s="14" t="n"/>
      <c r="S95" s="14" t="n"/>
      <c r="T95" s="12" t="inlineStr">
        <is>
          <t>Not started</t>
        </is>
      </c>
      <c r="U95" s="12" t="inlineStr"/>
    </row>
    <row r="96">
      <c r="A96" s="11" t="n">
        <v>95</v>
      </c>
      <c r="B96" s="12" t="inlineStr">
        <is>
          <t>roo code usage tracking</t>
        </is>
      </c>
      <c r="C96" s="11" t="inlineStr">
        <is>
          <t>SEO</t>
        </is>
      </c>
      <c r="D96" s="12" t="inlineStr">
        <is>
          <t>Product guide</t>
        </is>
      </c>
      <c r="E96" s="12" t="inlineStr">
        <is>
          <t>Tool: Roo Code</t>
        </is>
      </c>
      <c r="F96" s="13" t="n"/>
      <c r="G96" s="13" t="n"/>
      <c r="H96" s="14" t="n"/>
      <c r="I96" s="12" t="inlineStr">
        <is>
          <t>Commercial</t>
        </is>
      </c>
      <c r="J96" s="15" t="n">
        <v>3</v>
      </c>
      <c r="K96" s="16">
        <f>IF(I96="","",IF(I96="Transactional",3,IF(I96="Commercial",2,1)))</f>
        <v/>
      </c>
      <c r="L96" s="16">
        <f>IF(G96="","",IF(G96&lt;=20,3,IF(G96&lt;=50,2,1)))</f>
        <v/>
      </c>
      <c r="M96" s="16">
        <f>IF(OR(J96="",K96="",L96=""),"",J96+K96+L96)</f>
        <v/>
      </c>
      <c r="N96" s="11" t="inlineStr">
        <is>
          <t>Main</t>
        </is>
      </c>
      <c r="O96" s="12" t="inlineStr">
        <is>
          <t>/integrations/roo-code</t>
        </is>
      </c>
      <c r="P96" s="12" t="inlineStr">
        <is>
          <t>Integration</t>
        </is>
      </c>
      <c r="Q96" s="14" t="n"/>
      <c r="R96" s="14" t="n"/>
      <c r="S96" s="14" t="n"/>
      <c r="T96" s="12" t="inlineStr">
        <is>
          <t>Not started</t>
        </is>
      </c>
      <c r="U96" s="12" t="inlineStr"/>
    </row>
    <row r="97">
      <c r="A97" s="11" t="n">
        <v>96</v>
      </c>
      <c r="B97" s="12" t="inlineStr">
        <is>
          <t>roo code token usage</t>
        </is>
      </c>
      <c r="C97" s="11" t="inlineStr">
        <is>
          <t>SEO</t>
        </is>
      </c>
      <c r="D97" s="12" t="inlineStr">
        <is>
          <t>Product guide</t>
        </is>
      </c>
      <c r="E97" s="12" t="inlineStr">
        <is>
          <t>Tool: Roo Code</t>
        </is>
      </c>
      <c r="F97" s="13" t="n"/>
      <c r="G97" s="13" t="n"/>
      <c r="H97" s="14" t="n"/>
      <c r="I97" s="12" t="inlineStr">
        <is>
          <t>Commercial</t>
        </is>
      </c>
      <c r="J97" s="15" t="n">
        <v>3</v>
      </c>
      <c r="K97" s="16">
        <f>IF(I97="","",IF(I97="Transactional",3,IF(I97="Commercial",2,1)))</f>
        <v/>
      </c>
      <c r="L97" s="16">
        <f>IF(G97="","",IF(G97&lt;=20,3,IF(G97&lt;=50,2,1)))</f>
        <v/>
      </c>
      <c r="M97" s="16">
        <f>IF(OR(J97="",K97="",L97=""),"",J97+K97+L97)</f>
        <v/>
      </c>
      <c r="N97" s="11" t="inlineStr">
        <is>
          <t>Secondary</t>
        </is>
      </c>
      <c r="O97" s="12" t="inlineStr">
        <is>
          <t>/integrations/roo-code</t>
        </is>
      </c>
      <c r="P97" s="12" t="inlineStr">
        <is>
          <t>Integration</t>
        </is>
      </c>
      <c r="Q97" s="14" t="n"/>
      <c r="R97" s="14" t="n"/>
      <c r="S97" s="14" t="n"/>
      <c r="T97" s="12" t="inlineStr">
        <is>
          <t>Not started</t>
        </is>
      </c>
      <c r="U97" s="12" t="inlineStr"/>
    </row>
    <row r="98">
      <c r="A98" s="11" t="n">
        <v>97</v>
      </c>
      <c r="B98" s="12" t="inlineStr">
        <is>
          <t>roo code analytics</t>
        </is>
      </c>
      <c r="C98" s="11" t="inlineStr">
        <is>
          <t>SEO</t>
        </is>
      </c>
      <c r="D98" s="12" t="inlineStr">
        <is>
          <t>Product guide</t>
        </is>
      </c>
      <c r="E98" s="12" t="inlineStr">
        <is>
          <t>Tool: Roo Code</t>
        </is>
      </c>
      <c r="F98" s="13" t="n"/>
      <c r="G98" s="13" t="n"/>
      <c r="H98" s="14" t="n"/>
      <c r="I98" s="12" t="inlineStr">
        <is>
          <t>Commercial</t>
        </is>
      </c>
      <c r="J98" s="15" t="n">
        <v>3</v>
      </c>
      <c r="K98" s="16">
        <f>IF(I98="","",IF(I98="Transactional",3,IF(I98="Commercial",2,1)))</f>
        <v/>
      </c>
      <c r="L98" s="16">
        <f>IF(G98="","",IF(G98&lt;=20,3,IF(G98&lt;=50,2,1)))</f>
        <v/>
      </c>
      <c r="M98" s="16">
        <f>IF(OR(J98="",K98="",L98=""),"",J98+K98+L98)</f>
        <v/>
      </c>
      <c r="N98" s="11" t="inlineStr">
        <is>
          <t>Secondary</t>
        </is>
      </c>
      <c r="O98" s="12" t="inlineStr">
        <is>
          <t>/integrations/roo-code</t>
        </is>
      </c>
      <c r="P98" s="12" t="inlineStr">
        <is>
          <t>Integration</t>
        </is>
      </c>
      <c r="Q98" s="14" t="n"/>
      <c r="R98" s="14" t="n"/>
      <c r="S98" s="14" t="n"/>
      <c r="T98" s="12" t="inlineStr">
        <is>
          <t>Not started</t>
        </is>
      </c>
      <c r="U98" s="12" t="inlineStr"/>
    </row>
    <row r="99">
      <c r="A99" s="11" t="n">
        <v>98</v>
      </c>
      <c r="B99" s="12" t="inlineStr">
        <is>
          <t>roo code team</t>
        </is>
      </c>
      <c r="C99" s="11" t="inlineStr">
        <is>
          <t>SEO</t>
        </is>
      </c>
      <c r="D99" s="12" t="inlineStr">
        <is>
          <t>Product guide</t>
        </is>
      </c>
      <c r="E99" s="12" t="inlineStr">
        <is>
          <t>Tool: Roo Code</t>
        </is>
      </c>
      <c r="F99" s="13" t="n"/>
      <c r="G99" s="13" t="n"/>
      <c r="H99" s="14" t="n"/>
      <c r="I99" s="12" t="inlineStr">
        <is>
          <t>Commercial</t>
        </is>
      </c>
      <c r="J99" s="15" t="n">
        <v>3</v>
      </c>
      <c r="K99" s="16">
        <f>IF(I99="","",IF(I99="Transactional",3,IF(I99="Commercial",2,1)))</f>
        <v/>
      </c>
      <c r="L99" s="16">
        <f>IF(G99="","",IF(G99&lt;=20,3,IF(G99&lt;=50,2,1)))</f>
        <v/>
      </c>
      <c r="M99" s="16">
        <f>IF(OR(J99="",K99="",L99=""),"",J99+K99+L99)</f>
        <v/>
      </c>
      <c r="N99" s="11" t="inlineStr">
        <is>
          <t>Secondary</t>
        </is>
      </c>
      <c r="O99" s="12" t="inlineStr">
        <is>
          <t>/integrations/roo-code</t>
        </is>
      </c>
      <c r="P99" s="12" t="inlineStr">
        <is>
          <t>Integration</t>
        </is>
      </c>
      <c r="Q99" s="14" t="n"/>
      <c r="R99" s="14" t="n"/>
      <c r="S99" s="14" t="n"/>
      <c r="T99" s="12" t="inlineStr">
        <is>
          <t>Not started</t>
        </is>
      </c>
      <c r="U99" s="12" t="inlineStr"/>
    </row>
    <row r="100">
      <c r="A100" s="11" t="n">
        <v>99</v>
      </c>
      <c r="B100" s="12" t="inlineStr">
        <is>
          <t>kilo code usage tracking</t>
        </is>
      </c>
      <c r="C100" s="11" t="inlineStr">
        <is>
          <t>SEO</t>
        </is>
      </c>
      <c r="D100" s="12" t="inlineStr">
        <is>
          <t>Product guide</t>
        </is>
      </c>
      <c r="E100" s="12" t="inlineStr">
        <is>
          <t>Tool: Kilo Code</t>
        </is>
      </c>
      <c r="F100" s="13" t="n"/>
      <c r="G100" s="13" t="n"/>
      <c r="H100" s="14" t="n"/>
      <c r="I100" s="12" t="inlineStr">
        <is>
          <t>Commercial</t>
        </is>
      </c>
      <c r="J100" s="15" t="n">
        <v>3</v>
      </c>
      <c r="K100" s="16">
        <f>IF(I100="","",IF(I100="Transactional",3,IF(I100="Commercial",2,1)))</f>
        <v/>
      </c>
      <c r="L100" s="16">
        <f>IF(G100="","",IF(G100&lt;=20,3,IF(G100&lt;=50,2,1)))</f>
        <v/>
      </c>
      <c r="M100" s="16">
        <f>IF(OR(J100="",K100="",L100=""),"",J100+K100+L100)</f>
        <v/>
      </c>
      <c r="N100" s="11" t="inlineStr">
        <is>
          <t>Main</t>
        </is>
      </c>
      <c r="O100" s="12" t="inlineStr">
        <is>
          <t>/integrations/kilo-code</t>
        </is>
      </c>
      <c r="P100" s="12" t="inlineStr">
        <is>
          <t>Integration</t>
        </is>
      </c>
      <c r="Q100" s="14" t="n"/>
      <c r="R100" s="14" t="n"/>
      <c r="S100" s="14" t="n"/>
      <c r="T100" s="12" t="inlineStr">
        <is>
          <t>Not started</t>
        </is>
      </c>
      <c r="U100" s="12" t="inlineStr"/>
    </row>
    <row r="101">
      <c r="A101" s="11" t="n">
        <v>100</v>
      </c>
      <c r="B101" s="12" t="inlineStr">
        <is>
          <t>kilo code token usage</t>
        </is>
      </c>
      <c r="C101" s="11" t="inlineStr">
        <is>
          <t>SEO</t>
        </is>
      </c>
      <c r="D101" s="12" t="inlineStr">
        <is>
          <t>Product guide</t>
        </is>
      </c>
      <c r="E101" s="12" t="inlineStr">
        <is>
          <t>Tool: Kilo Code</t>
        </is>
      </c>
      <c r="F101" s="13" t="n"/>
      <c r="G101" s="13" t="n"/>
      <c r="H101" s="14" t="n"/>
      <c r="I101" s="12" t="inlineStr">
        <is>
          <t>Commercial</t>
        </is>
      </c>
      <c r="J101" s="15" t="n">
        <v>3</v>
      </c>
      <c r="K101" s="16">
        <f>IF(I101="","",IF(I101="Transactional",3,IF(I101="Commercial",2,1)))</f>
        <v/>
      </c>
      <c r="L101" s="16">
        <f>IF(G101="","",IF(G101&lt;=20,3,IF(G101&lt;=50,2,1)))</f>
        <v/>
      </c>
      <c r="M101" s="16">
        <f>IF(OR(J101="",K101="",L101=""),"",J101+K101+L101)</f>
        <v/>
      </c>
      <c r="N101" s="11" t="inlineStr">
        <is>
          <t>Secondary</t>
        </is>
      </c>
      <c r="O101" s="12" t="inlineStr">
        <is>
          <t>/integrations/kilo-code</t>
        </is>
      </c>
      <c r="P101" s="12" t="inlineStr">
        <is>
          <t>Integration</t>
        </is>
      </c>
      <c r="Q101" s="14" t="n"/>
      <c r="R101" s="14" t="n"/>
      <c r="S101" s="14" t="n"/>
      <c r="T101" s="12" t="inlineStr">
        <is>
          <t>Not started</t>
        </is>
      </c>
      <c r="U101" s="12" t="inlineStr"/>
    </row>
    <row r="102">
      <c r="A102" s="11" t="n">
        <v>101</v>
      </c>
      <c r="B102" s="12" t="inlineStr">
        <is>
          <t>kilo code analytics</t>
        </is>
      </c>
      <c r="C102" s="11" t="inlineStr">
        <is>
          <t>SEO</t>
        </is>
      </c>
      <c r="D102" s="12" t="inlineStr">
        <is>
          <t>Product guide</t>
        </is>
      </c>
      <c r="E102" s="12" t="inlineStr">
        <is>
          <t>Tool: Kilo Code</t>
        </is>
      </c>
      <c r="F102" s="13" t="n"/>
      <c r="G102" s="13" t="n"/>
      <c r="H102" s="14" t="n"/>
      <c r="I102" s="12" t="inlineStr">
        <is>
          <t>Commercial</t>
        </is>
      </c>
      <c r="J102" s="15" t="n">
        <v>3</v>
      </c>
      <c r="K102" s="16">
        <f>IF(I102="","",IF(I102="Transactional",3,IF(I102="Commercial",2,1)))</f>
        <v/>
      </c>
      <c r="L102" s="16">
        <f>IF(G102="","",IF(G102&lt;=20,3,IF(G102&lt;=50,2,1)))</f>
        <v/>
      </c>
      <c r="M102" s="16">
        <f>IF(OR(J102="",K102="",L102=""),"",J102+K102+L102)</f>
        <v/>
      </c>
      <c r="N102" s="11" t="inlineStr">
        <is>
          <t>Secondary</t>
        </is>
      </c>
      <c r="O102" s="12" t="inlineStr">
        <is>
          <t>/integrations/kilo-code</t>
        </is>
      </c>
      <c r="P102" s="12" t="inlineStr">
        <is>
          <t>Integration</t>
        </is>
      </c>
      <c r="Q102" s="14" t="n"/>
      <c r="R102" s="14" t="n"/>
      <c r="S102" s="14" t="n"/>
      <c r="T102" s="12" t="inlineStr">
        <is>
          <t>Not started</t>
        </is>
      </c>
      <c r="U102" s="12" t="inlineStr"/>
    </row>
    <row r="103">
      <c r="A103" s="11" t="n">
        <v>102</v>
      </c>
      <c r="B103" s="12" t="inlineStr">
        <is>
          <t>kilo code team</t>
        </is>
      </c>
      <c r="C103" s="11" t="inlineStr">
        <is>
          <t>SEO</t>
        </is>
      </c>
      <c r="D103" s="12" t="inlineStr">
        <is>
          <t>Product guide</t>
        </is>
      </c>
      <c r="E103" s="12" t="inlineStr">
        <is>
          <t>Tool: Kilo Code</t>
        </is>
      </c>
      <c r="F103" s="13" t="n"/>
      <c r="G103" s="13" t="n"/>
      <c r="H103" s="14" t="n"/>
      <c r="I103" s="12" t="inlineStr">
        <is>
          <t>Commercial</t>
        </is>
      </c>
      <c r="J103" s="15" t="n">
        <v>3</v>
      </c>
      <c r="K103" s="16">
        <f>IF(I103="","",IF(I103="Transactional",3,IF(I103="Commercial",2,1)))</f>
        <v/>
      </c>
      <c r="L103" s="16">
        <f>IF(G103="","",IF(G103&lt;=20,3,IF(G103&lt;=50,2,1)))</f>
        <v/>
      </c>
      <c r="M103" s="16">
        <f>IF(OR(J103="",K103="",L103=""),"",J103+K103+L103)</f>
        <v/>
      </c>
      <c r="N103" s="11" t="inlineStr">
        <is>
          <t>Secondary</t>
        </is>
      </c>
      <c r="O103" s="12" t="inlineStr">
        <is>
          <t>/integrations/kilo-code</t>
        </is>
      </c>
      <c r="P103" s="12" t="inlineStr">
        <is>
          <t>Integration</t>
        </is>
      </c>
      <c r="Q103" s="14" t="n"/>
      <c r="R103" s="14" t="n"/>
      <c r="S103" s="14" t="n"/>
      <c r="T103" s="12" t="inlineStr">
        <is>
          <t>Not started</t>
        </is>
      </c>
      <c r="U103" s="12" t="inlineStr"/>
    </row>
    <row r="104">
      <c r="A104" s="11" t="n">
        <v>103</v>
      </c>
      <c r="B104" s="12" t="inlineStr">
        <is>
          <t>opencode usage tracking</t>
        </is>
      </c>
      <c r="C104" s="11" t="inlineStr">
        <is>
          <t>SEO</t>
        </is>
      </c>
      <c r="D104" s="12" t="inlineStr">
        <is>
          <t>Product guide</t>
        </is>
      </c>
      <c r="E104" s="12" t="inlineStr">
        <is>
          <t>Tool: OpenCode</t>
        </is>
      </c>
      <c r="F104" s="13" t="n"/>
      <c r="G104" s="13" t="n"/>
      <c r="H104" s="14" t="n"/>
      <c r="I104" s="12" t="inlineStr">
        <is>
          <t>Commercial</t>
        </is>
      </c>
      <c r="J104" s="15" t="n">
        <v>3</v>
      </c>
      <c r="K104" s="16">
        <f>IF(I104="","",IF(I104="Transactional",3,IF(I104="Commercial",2,1)))</f>
        <v/>
      </c>
      <c r="L104" s="16">
        <f>IF(G104="","",IF(G104&lt;=20,3,IF(G104&lt;=50,2,1)))</f>
        <v/>
      </c>
      <c r="M104" s="16">
        <f>IF(OR(J104="",K104="",L104=""),"",J104+K104+L104)</f>
        <v/>
      </c>
      <c r="N104" s="11" t="inlineStr">
        <is>
          <t>Main</t>
        </is>
      </c>
      <c r="O104" s="12" t="inlineStr">
        <is>
          <t>/integrations/opencode</t>
        </is>
      </c>
      <c r="P104" s="12" t="inlineStr">
        <is>
          <t>Integration</t>
        </is>
      </c>
      <c r="Q104" s="14" t="n"/>
      <c r="R104" s="14" t="n"/>
      <c r="S104" s="14" t="n"/>
      <c r="T104" s="12" t="inlineStr">
        <is>
          <t>Not started</t>
        </is>
      </c>
      <c r="U104" s="12" t="inlineStr"/>
    </row>
    <row r="105">
      <c r="A105" s="11" t="n">
        <v>104</v>
      </c>
      <c r="B105" s="12" t="inlineStr">
        <is>
          <t>opencode token usage</t>
        </is>
      </c>
      <c r="C105" s="11" t="inlineStr">
        <is>
          <t>SEO</t>
        </is>
      </c>
      <c r="D105" s="12" t="inlineStr">
        <is>
          <t>Product guide</t>
        </is>
      </c>
      <c r="E105" s="12" t="inlineStr">
        <is>
          <t>Tool: OpenCode</t>
        </is>
      </c>
      <c r="F105" s="13" t="n"/>
      <c r="G105" s="13" t="n"/>
      <c r="H105" s="14" t="n"/>
      <c r="I105" s="12" t="inlineStr">
        <is>
          <t>Commercial</t>
        </is>
      </c>
      <c r="J105" s="15" t="n">
        <v>3</v>
      </c>
      <c r="K105" s="16">
        <f>IF(I105="","",IF(I105="Transactional",3,IF(I105="Commercial",2,1)))</f>
        <v/>
      </c>
      <c r="L105" s="16">
        <f>IF(G105="","",IF(G105&lt;=20,3,IF(G105&lt;=50,2,1)))</f>
        <v/>
      </c>
      <c r="M105" s="16">
        <f>IF(OR(J105="",K105="",L105=""),"",J105+K105+L105)</f>
        <v/>
      </c>
      <c r="N105" s="11" t="inlineStr">
        <is>
          <t>Secondary</t>
        </is>
      </c>
      <c r="O105" s="12" t="inlineStr">
        <is>
          <t>/integrations/opencode</t>
        </is>
      </c>
      <c r="P105" s="12" t="inlineStr">
        <is>
          <t>Integration</t>
        </is>
      </c>
      <c r="Q105" s="14" t="n"/>
      <c r="R105" s="14" t="n"/>
      <c r="S105" s="14" t="n"/>
      <c r="T105" s="12" t="inlineStr">
        <is>
          <t>Not started</t>
        </is>
      </c>
      <c r="U105" s="12" t="inlineStr"/>
    </row>
    <row r="106">
      <c r="A106" s="11" t="n">
        <v>105</v>
      </c>
      <c r="B106" s="12" t="inlineStr">
        <is>
          <t>opencode analytics</t>
        </is>
      </c>
      <c r="C106" s="11" t="inlineStr">
        <is>
          <t>SEO</t>
        </is>
      </c>
      <c r="D106" s="12" t="inlineStr">
        <is>
          <t>Product guide</t>
        </is>
      </c>
      <c r="E106" s="12" t="inlineStr">
        <is>
          <t>Tool: OpenCode</t>
        </is>
      </c>
      <c r="F106" s="13" t="n"/>
      <c r="G106" s="13" t="n"/>
      <c r="H106" s="14" t="n"/>
      <c r="I106" s="12" t="inlineStr">
        <is>
          <t>Commercial</t>
        </is>
      </c>
      <c r="J106" s="15" t="n">
        <v>3</v>
      </c>
      <c r="K106" s="16">
        <f>IF(I106="","",IF(I106="Transactional",3,IF(I106="Commercial",2,1)))</f>
        <v/>
      </c>
      <c r="L106" s="16">
        <f>IF(G106="","",IF(G106&lt;=20,3,IF(G106&lt;=50,2,1)))</f>
        <v/>
      </c>
      <c r="M106" s="16">
        <f>IF(OR(J106="",K106="",L106=""),"",J106+K106+L106)</f>
        <v/>
      </c>
      <c r="N106" s="11" t="inlineStr">
        <is>
          <t>Secondary</t>
        </is>
      </c>
      <c r="O106" s="12" t="inlineStr">
        <is>
          <t>/integrations/opencode</t>
        </is>
      </c>
      <c r="P106" s="12" t="inlineStr">
        <is>
          <t>Integration</t>
        </is>
      </c>
      <c r="Q106" s="14" t="n"/>
      <c r="R106" s="14" t="n"/>
      <c r="S106" s="14" t="n"/>
      <c r="T106" s="12" t="inlineStr">
        <is>
          <t>Not started</t>
        </is>
      </c>
      <c r="U106" s="12" t="inlineStr"/>
    </row>
    <row r="107">
      <c r="A107" s="11" t="n">
        <v>106</v>
      </c>
      <c r="B107" s="12" t="inlineStr">
        <is>
          <t>opencode team</t>
        </is>
      </c>
      <c r="C107" s="11" t="inlineStr">
        <is>
          <t>SEO</t>
        </is>
      </c>
      <c r="D107" s="12" t="inlineStr">
        <is>
          <t>Product guide</t>
        </is>
      </c>
      <c r="E107" s="12" t="inlineStr">
        <is>
          <t>Tool: OpenCode</t>
        </is>
      </c>
      <c r="F107" s="13" t="n"/>
      <c r="G107" s="13" t="n"/>
      <c r="H107" s="14" t="n"/>
      <c r="I107" s="12" t="inlineStr">
        <is>
          <t>Commercial</t>
        </is>
      </c>
      <c r="J107" s="15" t="n">
        <v>3</v>
      </c>
      <c r="K107" s="16">
        <f>IF(I107="","",IF(I107="Transactional",3,IF(I107="Commercial",2,1)))</f>
        <v/>
      </c>
      <c r="L107" s="16">
        <f>IF(G107="","",IF(G107&lt;=20,3,IF(G107&lt;=50,2,1)))</f>
        <v/>
      </c>
      <c r="M107" s="16">
        <f>IF(OR(J107="",K107="",L107=""),"",J107+K107+L107)</f>
        <v/>
      </c>
      <c r="N107" s="11" t="inlineStr">
        <is>
          <t>Secondary</t>
        </is>
      </c>
      <c r="O107" s="12" t="inlineStr">
        <is>
          <t>/integrations/opencode</t>
        </is>
      </c>
      <c r="P107" s="12" t="inlineStr">
        <is>
          <t>Integration</t>
        </is>
      </c>
      <c r="Q107" s="14" t="n"/>
      <c r="R107" s="14" t="n"/>
      <c r="S107" s="14" t="n"/>
      <c r="T107" s="12" t="inlineStr">
        <is>
          <t>Not started</t>
        </is>
      </c>
      <c r="U107" s="12" t="inlineStr"/>
    </row>
    <row r="108">
      <c r="A108" s="11" t="n">
        <v>107</v>
      </c>
      <c r="B108" s="12" t="inlineStr">
        <is>
          <t>aider usage tracking</t>
        </is>
      </c>
      <c r="C108" s="11" t="inlineStr">
        <is>
          <t>SEO</t>
        </is>
      </c>
      <c r="D108" s="12" t="inlineStr">
        <is>
          <t>Product guide</t>
        </is>
      </c>
      <c r="E108" s="12" t="inlineStr">
        <is>
          <t>Tool: Aider</t>
        </is>
      </c>
      <c r="F108" s="13" t="n"/>
      <c r="G108" s="13" t="n"/>
      <c r="H108" s="14" t="n"/>
      <c r="I108" s="12" t="inlineStr">
        <is>
          <t>Commercial</t>
        </is>
      </c>
      <c r="J108" s="15" t="n">
        <v>3</v>
      </c>
      <c r="K108" s="16">
        <f>IF(I108="","",IF(I108="Transactional",3,IF(I108="Commercial",2,1)))</f>
        <v/>
      </c>
      <c r="L108" s="16">
        <f>IF(G108="","",IF(G108&lt;=20,3,IF(G108&lt;=50,2,1)))</f>
        <v/>
      </c>
      <c r="M108" s="16">
        <f>IF(OR(J108="",K108="",L108=""),"",J108+K108+L108)</f>
        <v/>
      </c>
      <c r="N108" s="11" t="inlineStr">
        <is>
          <t>Main</t>
        </is>
      </c>
      <c r="O108" s="12" t="inlineStr">
        <is>
          <t>/integrations/aider</t>
        </is>
      </c>
      <c r="P108" s="12" t="inlineStr">
        <is>
          <t>Integration</t>
        </is>
      </c>
      <c r="Q108" s="14" t="n"/>
      <c r="R108" s="14" t="n"/>
      <c r="S108" s="14" t="n"/>
      <c r="T108" s="12" t="inlineStr">
        <is>
          <t>Not started</t>
        </is>
      </c>
      <c r="U108" s="12" t="inlineStr"/>
    </row>
    <row r="109">
      <c r="A109" s="11" t="n">
        <v>108</v>
      </c>
      <c r="B109" s="12" t="inlineStr">
        <is>
          <t>aider token cost</t>
        </is>
      </c>
      <c r="C109" s="11" t="inlineStr">
        <is>
          <t>SEO</t>
        </is>
      </c>
      <c r="D109" s="12" t="inlineStr">
        <is>
          <t>Product guide</t>
        </is>
      </c>
      <c r="E109" s="12" t="inlineStr">
        <is>
          <t>Tool: Aider</t>
        </is>
      </c>
      <c r="F109" s="13" t="n"/>
      <c r="G109" s="13" t="n"/>
      <c r="H109" s="14" t="n"/>
      <c r="I109" s="12" t="inlineStr">
        <is>
          <t>Commercial</t>
        </is>
      </c>
      <c r="J109" s="15" t="n">
        <v>3</v>
      </c>
      <c r="K109" s="16">
        <f>IF(I109="","",IF(I109="Transactional",3,IF(I109="Commercial",2,1)))</f>
        <v/>
      </c>
      <c r="L109" s="16">
        <f>IF(G109="","",IF(G109&lt;=20,3,IF(G109&lt;=50,2,1)))</f>
        <v/>
      </c>
      <c r="M109" s="16">
        <f>IF(OR(J109="",K109="",L109=""),"",J109+K109+L109)</f>
        <v/>
      </c>
      <c r="N109" s="11" t="inlineStr">
        <is>
          <t>Secondary</t>
        </is>
      </c>
      <c r="O109" s="12" t="inlineStr">
        <is>
          <t>/integrations/aider</t>
        </is>
      </c>
      <c r="P109" s="12" t="inlineStr">
        <is>
          <t>Integration</t>
        </is>
      </c>
      <c r="Q109" s="14" t="n"/>
      <c r="R109" s="14" t="n"/>
      <c r="S109" s="14" t="n"/>
      <c r="T109" s="12" t="inlineStr">
        <is>
          <t>Not started</t>
        </is>
      </c>
      <c r="U109" s="12" t="inlineStr"/>
    </row>
    <row r="110">
      <c r="A110" s="11" t="n">
        <v>109</v>
      </c>
      <c r="B110" s="12" t="inlineStr">
        <is>
          <t>aider analytics</t>
        </is>
      </c>
      <c r="C110" s="11" t="inlineStr">
        <is>
          <t>SEO</t>
        </is>
      </c>
      <c r="D110" s="12" t="inlineStr">
        <is>
          <t>Product guide</t>
        </is>
      </c>
      <c r="E110" s="12" t="inlineStr">
        <is>
          <t>Tool: Aider</t>
        </is>
      </c>
      <c r="F110" s="13" t="n"/>
      <c r="G110" s="13" t="n"/>
      <c r="H110" s="14" t="n"/>
      <c r="I110" s="12" t="inlineStr">
        <is>
          <t>Commercial</t>
        </is>
      </c>
      <c r="J110" s="15" t="n">
        <v>3</v>
      </c>
      <c r="K110" s="16">
        <f>IF(I110="","",IF(I110="Transactional",3,IF(I110="Commercial",2,1)))</f>
        <v/>
      </c>
      <c r="L110" s="16">
        <f>IF(G110="","",IF(G110&lt;=20,3,IF(G110&lt;=50,2,1)))</f>
        <v/>
      </c>
      <c r="M110" s="16">
        <f>IF(OR(J110="",K110="",L110=""),"",J110+K110+L110)</f>
        <v/>
      </c>
      <c r="N110" s="11" t="inlineStr">
        <is>
          <t>Secondary</t>
        </is>
      </c>
      <c r="O110" s="12" t="inlineStr">
        <is>
          <t>/integrations/aider</t>
        </is>
      </c>
      <c r="P110" s="12" t="inlineStr">
        <is>
          <t>Integration</t>
        </is>
      </c>
      <c r="Q110" s="14" t="n"/>
      <c r="R110" s="14" t="n"/>
      <c r="S110" s="14" t="n"/>
      <c r="T110" s="12" t="inlineStr">
        <is>
          <t>Not started</t>
        </is>
      </c>
      <c r="U110" s="12" t="inlineStr"/>
    </row>
    <row r="111">
      <c r="A111" s="11" t="n">
        <v>110</v>
      </c>
      <c r="B111" s="12" t="inlineStr">
        <is>
          <t>aider team</t>
        </is>
      </c>
      <c r="C111" s="11" t="inlineStr">
        <is>
          <t>SEO</t>
        </is>
      </c>
      <c r="D111" s="12" t="inlineStr">
        <is>
          <t>Product guide</t>
        </is>
      </c>
      <c r="E111" s="12" t="inlineStr">
        <is>
          <t>Tool: Aider</t>
        </is>
      </c>
      <c r="F111" s="13" t="n"/>
      <c r="G111" s="13" t="n"/>
      <c r="H111" s="14" t="n"/>
      <c r="I111" s="12" t="inlineStr">
        <is>
          <t>Commercial</t>
        </is>
      </c>
      <c r="J111" s="15" t="n">
        <v>3</v>
      </c>
      <c r="K111" s="16">
        <f>IF(I111="","",IF(I111="Transactional",3,IF(I111="Commercial",2,1)))</f>
        <v/>
      </c>
      <c r="L111" s="16">
        <f>IF(G111="","",IF(G111&lt;=20,3,IF(G111&lt;=50,2,1)))</f>
        <v/>
      </c>
      <c r="M111" s="16">
        <f>IF(OR(J111="",K111="",L111=""),"",J111+K111+L111)</f>
        <v/>
      </c>
      <c r="N111" s="11" t="inlineStr">
        <is>
          <t>Secondary</t>
        </is>
      </c>
      <c r="O111" s="12" t="inlineStr">
        <is>
          <t>/integrations/aider</t>
        </is>
      </c>
      <c r="P111" s="12" t="inlineStr">
        <is>
          <t>Integration</t>
        </is>
      </c>
      <c r="Q111" s="14" t="n"/>
      <c r="R111" s="14" t="n"/>
      <c r="S111" s="14" t="n"/>
      <c r="T111" s="12" t="inlineStr">
        <is>
          <t>Not started</t>
        </is>
      </c>
      <c r="U111" s="12" t="inlineStr"/>
    </row>
    <row r="112">
      <c r="A112" s="11" t="n">
        <v>111</v>
      </c>
      <c r="B112" s="12" t="inlineStr">
        <is>
          <t>track multiple ai coding tools in one dashboard</t>
        </is>
      </c>
      <c r="C112" s="11" t="inlineStr">
        <is>
          <t>SEO</t>
        </is>
      </c>
      <c r="D112" s="12" t="inlineStr">
        <is>
          <t>Product guide</t>
        </is>
      </c>
      <c r="E112" s="12" t="inlineStr">
        <is>
          <t>Multi-tool</t>
        </is>
      </c>
      <c r="F112" s="13" t="n"/>
      <c r="G112" s="13" t="n"/>
      <c r="H112" s="14" t="n"/>
      <c r="I112" s="12" t="inlineStr">
        <is>
          <t>Commercial</t>
        </is>
      </c>
      <c r="J112" s="15" t="n">
        <v>3</v>
      </c>
      <c r="K112" s="16">
        <f>IF(I112="","",IF(I112="Transactional",3,IF(I112="Commercial",2,1)))</f>
        <v/>
      </c>
      <c r="L112" s="16">
        <f>IF(G112="","",IF(G112&lt;=20,3,IF(G112&lt;=50,2,1)))</f>
        <v/>
      </c>
      <c r="M112" s="16">
        <f>IF(OR(J112="",K112="",L112=""),"",J112+K112+L112)</f>
        <v/>
      </c>
      <c r="N112" s="11" t="inlineStr">
        <is>
          <t>Main</t>
        </is>
      </c>
      <c r="O112" s="12" t="inlineStr">
        <is>
          <t>/integrations</t>
        </is>
      </c>
      <c r="P112" s="12" t="inlineStr">
        <is>
          <t>Integration</t>
        </is>
      </c>
      <c r="Q112" s="14" t="n"/>
      <c r="R112" s="14" t="n"/>
      <c r="S112" s="14" t="n"/>
      <c r="T112" s="12" t="inlineStr">
        <is>
          <t>Not started</t>
        </is>
      </c>
      <c r="U112" s="12" t="inlineStr"/>
    </row>
    <row r="113">
      <c r="A113" s="11" t="n">
        <v>112</v>
      </c>
      <c r="B113" s="12" t="inlineStr">
        <is>
          <t>claude code vs cursor usage</t>
        </is>
      </c>
      <c r="C113" s="11" t="inlineStr">
        <is>
          <t>SEO</t>
        </is>
      </c>
      <c r="D113" s="12" t="inlineStr">
        <is>
          <t>Product guide</t>
        </is>
      </c>
      <c r="E113" s="12" t="inlineStr">
        <is>
          <t>Multi-tool</t>
        </is>
      </c>
      <c r="F113" s="13" t="n"/>
      <c r="G113" s="13" t="n"/>
      <c r="H113" s="14" t="n"/>
      <c r="I113" s="12" t="inlineStr">
        <is>
          <t>Informational</t>
        </is>
      </c>
      <c r="J113" s="15" t="n">
        <v>2</v>
      </c>
      <c r="K113" s="16">
        <f>IF(I113="","",IF(I113="Transactional",3,IF(I113="Commercial",2,1)))</f>
        <v/>
      </c>
      <c r="L113" s="16">
        <f>IF(G113="","",IF(G113&lt;=20,3,IF(G113&lt;=50,2,1)))</f>
        <v/>
      </c>
      <c r="M113" s="16">
        <f>IF(OR(J113="",K113="",L113=""),"",J113+K113+L113)</f>
        <v/>
      </c>
      <c r="N113" s="11" t="inlineStr">
        <is>
          <t>Main</t>
        </is>
      </c>
      <c r="O113" s="12" t="inlineStr">
        <is>
          <t>/blog/claude-code-vs-cursor</t>
        </is>
      </c>
      <c r="P113" s="12" t="inlineStr">
        <is>
          <t>Blog</t>
        </is>
      </c>
      <c r="Q113" s="14" t="n"/>
      <c r="R113" s="14" t="n"/>
      <c r="S113" s="14" t="n"/>
      <c r="T113" s="12" t="inlineStr">
        <is>
          <t>Not started</t>
        </is>
      </c>
      <c r="U113" s="12" t="inlineStr"/>
    </row>
    <row r="114">
      <c r="A114" s="11" t="n">
        <v>113</v>
      </c>
      <c r="B114" s="12" t="inlineStr">
        <is>
          <t>compare ai coding assistants usage</t>
        </is>
      </c>
      <c r="C114" s="11" t="inlineStr">
        <is>
          <t>SEO</t>
        </is>
      </c>
      <c r="D114" s="12" t="inlineStr">
        <is>
          <t>Product guide</t>
        </is>
      </c>
      <c r="E114" s="12" t="inlineStr">
        <is>
          <t>Multi-tool</t>
        </is>
      </c>
      <c r="F114" s="13" t="n"/>
      <c r="G114" s="13" t="n"/>
      <c r="H114" s="14" t="n"/>
      <c r="I114" s="12" t="inlineStr">
        <is>
          <t>Informational</t>
        </is>
      </c>
      <c r="J114" s="15" t="n">
        <v>2</v>
      </c>
      <c r="K114" s="16">
        <f>IF(I114="","",IF(I114="Transactional",3,IF(I114="Commercial",2,1)))</f>
        <v/>
      </c>
      <c r="L114" s="16">
        <f>IF(G114="","",IF(G114&lt;=20,3,IF(G114&lt;=50,2,1)))</f>
        <v/>
      </c>
      <c r="M114" s="16">
        <f>IF(OR(J114="",K114="",L114=""),"",J114+K114+L114)</f>
        <v/>
      </c>
      <c r="N114" s="11" t="inlineStr">
        <is>
          <t>Secondary</t>
        </is>
      </c>
      <c r="O114" s="12" t="inlineStr">
        <is>
          <t>/blog/claude-code-vs-cursor</t>
        </is>
      </c>
      <c r="P114" s="12" t="inlineStr">
        <is>
          <t>Blog</t>
        </is>
      </c>
      <c r="Q114" s="14" t="n"/>
      <c r="R114" s="14" t="n"/>
      <c r="S114" s="14" t="n"/>
      <c r="T114" s="12" t="inlineStr">
        <is>
          <t>Not started</t>
        </is>
      </c>
      <c r="U114" s="12" t="inlineStr"/>
    </row>
    <row r="115">
      <c r="A115" s="11" t="n">
        <v>114</v>
      </c>
      <c r="B115" s="12" t="inlineStr">
        <is>
          <t>Does Kite Pulse read my source code?</t>
        </is>
      </c>
      <c r="C115" s="17" t="inlineStr">
        <is>
          <t>AEO</t>
        </is>
      </c>
      <c r="D115" s="12" t="inlineStr">
        <is>
          <t>Product guide</t>
        </is>
      </c>
      <c r="E115" s="12" t="inlineStr">
        <is>
          <t>FAQ (brand)</t>
        </is>
      </c>
      <c r="F115" s="13" t="n"/>
      <c r="G115" s="13" t="n"/>
      <c r="H115" s="14" t="n"/>
      <c r="I115" s="12" t="inlineStr">
        <is>
          <t>Informational</t>
        </is>
      </c>
      <c r="J115" s="15" t="n">
        <v>3</v>
      </c>
      <c r="K115" s="16">
        <f>IF(I115="","",IF(I115="Transactional",3,IF(I115="Commercial",2,1)))</f>
        <v/>
      </c>
      <c r="L115" s="16">
        <f>IF(G115="","",IF(G115&lt;=20,3,IF(G115&lt;=50,2,1)))</f>
        <v/>
      </c>
      <c r="M115" s="16">
        <f>IF(OR(J115="",K115="",L115=""),"",J115+K115+L115)</f>
        <v/>
      </c>
      <c r="N115" s="11" t="inlineStr">
        <is>
          <t>FAQ</t>
        </is>
      </c>
      <c r="O115" s="12" t="inlineStr">
        <is>
          <t>/faq</t>
        </is>
      </c>
      <c r="P115" s="12" t="inlineStr">
        <is>
          <t>FAQ</t>
        </is>
      </c>
      <c r="Q115" s="14" t="n"/>
      <c r="R115" s="14" t="n"/>
      <c r="S115" s="14" t="n"/>
      <c r="T115" s="12" t="inlineStr">
        <is>
          <t>Not started</t>
        </is>
      </c>
      <c r="U115" s="12" t="inlineStr">
        <is>
          <t>Also answer on related pages + FAQPage schema</t>
        </is>
      </c>
    </row>
    <row r="116">
      <c r="A116" s="11" t="n">
        <v>115</v>
      </c>
      <c r="B116" s="12" t="inlineStr">
        <is>
          <t>Can my manager see everything I type to the AI?</t>
        </is>
      </c>
      <c r="C116" s="17" t="inlineStr">
        <is>
          <t>AEO</t>
        </is>
      </c>
      <c r="D116" s="12" t="inlineStr">
        <is>
          <t>Product guide</t>
        </is>
      </c>
      <c r="E116" s="12" t="inlineStr">
        <is>
          <t>FAQ (brand)</t>
        </is>
      </c>
      <c r="F116" s="13" t="n"/>
      <c r="G116" s="13" t="n"/>
      <c r="H116" s="14" t="n"/>
      <c r="I116" s="12" t="inlineStr">
        <is>
          <t>Informational</t>
        </is>
      </c>
      <c r="J116" s="15" t="n">
        <v>3</v>
      </c>
      <c r="K116" s="16">
        <f>IF(I116="","",IF(I116="Transactional",3,IF(I116="Commercial",2,1)))</f>
        <v/>
      </c>
      <c r="L116" s="16">
        <f>IF(G116="","",IF(G116&lt;=20,3,IF(G116&lt;=50,2,1)))</f>
        <v/>
      </c>
      <c r="M116" s="16">
        <f>IF(OR(J116="",K116="",L116=""),"",J116+K116+L116)</f>
        <v/>
      </c>
      <c r="N116" s="11" t="inlineStr">
        <is>
          <t>FAQ</t>
        </is>
      </c>
      <c r="O116" s="12" t="inlineStr">
        <is>
          <t>/faq</t>
        </is>
      </c>
      <c r="P116" s="12" t="inlineStr">
        <is>
          <t>FAQ</t>
        </is>
      </c>
      <c r="Q116" s="14" t="n"/>
      <c r="R116" s="14" t="n"/>
      <c r="S116" s="14" t="n"/>
      <c r="T116" s="12" t="inlineStr">
        <is>
          <t>Not started</t>
        </is>
      </c>
      <c r="U116" s="12" t="inlineStr">
        <is>
          <t>Also answer on related pages + FAQPage schema</t>
        </is>
      </c>
    </row>
    <row r="117">
      <c r="A117" s="11" t="n">
        <v>116</v>
      </c>
      <c r="B117" s="12" t="inlineStr">
        <is>
          <t>Is Kite Pulse a performance-ranking tool?</t>
        </is>
      </c>
      <c r="C117" s="17" t="inlineStr">
        <is>
          <t>AEO</t>
        </is>
      </c>
      <c r="D117" s="12" t="inlineStr">
        <is>
          <t>Product guide</t>
        </is>
      </c>
      <c r="E117" s="12" t="inlineStr">
        <is>
          <t>FAQ (brand)</t>
        </is>
      </c>
      <c r="F117" s="13" t="n"/>
      <c r="G117" s="13" t="n"/>
      <c r="H117" s="14" t="n"/>
      <c r="I117" s="12" t="inlineStr">
        <is>
          <t>Informational</t>
        </is>
      </c>
      <c r="J117" s="15" t="n">
        <v>3</v>
      </c>
      <c r="K117" s="16">
        <f>IF(I117="","",IF(I117="Transactional",3,IF(I117="Commercial",2,1)))</f>
        <v/>
      </c>
      <c r="L117" s="16">
        <f>IF(G117="","",IF(G117&lt;=20,3,IF(G117&lt;=50,2,1)))</f>
        <v/>
      </c>
      <c r="M117" s="16">
        <f>IF(OR(J117="",K117="",L117=""),"",J117+K117+L117)</f>
        <v/>
      </c>
      <c r="N117" s="11" t="inlineStr">
        <is>
          <t>FAQ</t>
        </is>
      </c>
      <c r="O117" s="12" t="inlineStr">
        <is>
          <t>/faq</t>
        </is>
      </c>
      <c r="P117" s="12" t="inlineStr">
        <is>
          <t>FAQ</t>
        </is>
      </c>
      <c r="Q117" s="14" t="n"/>
      <c r="R117" s="14" t="n"/>
      <c r="S117" s="14" t="n"/>
      <c r="T117" s="12" t="inlineStr">
        <is>
          <t>Not started</t>
        </is>
      </c>
      <c r="U117" s="12" t="inlineStr">
        <is>
          <t>Also answer on related pages + FAQPage schema</t>
        </is>
      </c>
    </row>
    <row r="118">
      <c r="A118" s="11" t="n">
        <v>117</v>
      </c>
      <c r="B118" s="12" t="inlineStr">
        <is>
          <t>Which AI coding tools does Kite Pulse support?</t>
        </is>
      </c>
      <c r="C118" s="17" t="inlineStr">
        <is>
          <t>AEO</t>
        </is>
      </c>
      <c r="D118" s="12" t="inlineStr">
        <is>
          <t>Product guide</t>
        </is>
      </c>
      <c r="E118" s="12" t="inlineStr">
        <is>
          <t>FAQ (brand)</t>
        </is>
      </c>
      <c r="F118" s="13" t="n"/>
      <c r="G118" s="13" t="n"/>
      <c r="H118" s="14" t="n"/>
      <c r="I118" s="12" t="inlineStr">
        <is>
          <t>Informational</t>
        </is>
      </c>
      <c r="J118" s="15" t="n">
        <v>3</v>
      </c>
      <c r="K118" s="16">
        <f>IF(I118="","",IF(I118="Transactional",3,IF(I118="Commercial",2,1)))</f>
        <v/>
      </c>
      <c r="L118" s="16">
        <f>IF(G118="","",IF(G118&lt;=20,3,IF(G118&lt;=50,2,1)))</f>
        <v/>
      </c>
      <c r="M118" s="16">
        <f>IF(OR(J118="",K118="",L118=""),"",J118+K118+L118)</f>
        <v/>
      </c>
      <c r="N118" s="11" t="inlineStr">
        <is>
          <t>FAQ</t>
        </is>
      </c>
      <c r="O118" s="12" t="inlineStr">
        <is>
          <t>/faq</t>
        </is>
      </c>
      <c r="P118" s="12" t="inlineStr">
        <is>
          <t>FAQ</t>
        </is>
      </c>
      <c r="Q118" s="14" t="n"/>
      <c r="R118" s="14" t="n"/>
      <c r="S118" s="14" t="n"/>
      <c r="T118" s="12" t="inlineStr">
        <is>
          <t>Not started</t>
        </is>
      </c>
      <c r="U118" s="12" t="inlineStr">
        <is>
          <t>Also answer on related pages + FAQPage schema</t>
        </is>
      </c>
    </row>
    <row r="119">
      <c r="A119" s="11" t="n">
        <v>118</v>
      </c>
      <c r="B119" s="12" t="inlineStr">
        <is>
          <t>Does Kite Pulse send data to a vendor's cloud?</t>
        </is>
      </c>
      <c r="C119" s="17" t="inlineStr">
        <is>
          <t>AEO</t>
        </is>
      </c>
      <c r="D119" s="12" t="inlineStr">
        <is>
          <t>Product guide</t>
        </is>
      </c>
      <c r="E119" s="12" t="inlineStr">
        <is>
          <t>FAQ (brand)</t>
        </is>
      </c>
      <c r="F119" s="13" t="n"/>
      <c r="G119" s="13" t="n"/>
      <c r="H119" s="14" t="n"/>
      <c r="I119" s="12" t="inlineStr">
        <is>
          <t>Informational</t>
        </is>
      </c>
      <c r="J119" s="15" t="n">
        <v>3</v>
      </c>
      <c r="K119" s="16">
        <f>IF(I119="","",IF(I119="Transactional",3,IF(I119="Commercial",2,1)))</f>
        <v/>
      </c>
      <c r="L119" s="16">
        <f>IF(G119="","",IF(G119&lt;=20,3,IF(G119&lt;=50,2,1)))</f>
        <v/>
      </c>
      <c r="M119" s="16">
        <f>IF(OR(J119="",K119="",L119=""),"",J119+K119+L119)</f>
        <v/>
      </c>
      <c r="N119" s="11" t="inlineStr">
        <is>
          <t>FAQ</t>
        </is>
      </c>
      <c r="O119" s="12" t="inlineStr">
        <is>
          <t>/faq</t>
        </is>
      </c>
      <c r="P119" s="12" t="inlineStr">
        <is>
          <t>FAQ</t>
        </is>
      </c>
      <c r="Q119" s="14" t="n"/>
      <c r="R119" s="14" t="n"/>
      <c r="S119" s="14" t="n"/>
      <c r="T119" s="12" t="inlineStr">
        <is>
          <t>Not started</t>
        </is>
      </c>
      <c r="U119" s="12" t="inlineStr">
        <is>
          <t>Also answer on related pages + FAQPage schema</t>
        </is>
      </c>
    </row>
    <row r="120">
      <c r="A120" s="11" t="n">
        <v>119</v>
      </c>
      <c r="B120" s="12" t="inlineStr">
        <is>
          <t>Do I need an AI API key to use Kite Pulse?</t>
        </is>
      </c>
      <c r="C120" s="17" t="inlineStr">
        <is>
          <t>AEO</t>
        </is>
      </c>
      <c r="D120" s="12" t="inlineStr">
        <is>
          <t>Product guide</t>
        </is>
      </c>
      <c r="E120" s="12" t="inlineStr">
        <is>
          <t>FAQ (brand)</t>
        </is>
      </c>
      <c r="F120" s="13" t="n"/>
      <c r="G120" s="13" t="n"/>
      <c r="H120" s="14" t="n"/>
      <c r="I120" s="12" t="inlineStr">
        <is>
          <t>Informational</t>
        </is>
      </c>
      <c r="J120" s="15" t="n">
        <v>3</v>
      </c>
      <c r="K120" s="16">
        <f>IF(I120="","",IF(I120="Transactional",3,IF(I120="Commercial",2,1)))</f>
        <v/>
      </c>
      <c r="L120" s="16">
        <f>IF(G120="","",IF(G120&lt;=20,3,IF(G120&lt;=50,2,1)))</f>
        <v/>
      </c>
      <c r="M120" s="16">
        <f>IF(OR(J120="",K120="",L120=""),"",J120+K120+L120)</f>
        <v/>
      </c>
      <c r="N120" s="11" t="inlineStr">
        <is>
          <t>FAQ</t>
        </is>
      </c>
      <c r="O120" s="12" t="inlineStr">
        <is>
          <t>/faq</t>
        </is>
      </c>
      <c r="P120" s="12" t="inlineStr">
        <is>
          <t>FAQ</t>
        </is>
      </c>
      <c r="Q120" s="14" t="n"/>
      <c r="R120" s="14" t="n"/>
      <c r="S120" s="14" t="n"/>
      <c r="T120" s="12" t="inlineStr">
        <is>
          <t>Not started</t>
        </is>
      </c>
      <c r="U120" s="12" t="inlineStr">
        <is>
          <t>Also answer on related pages + FAQPage schema</t>
        </is>
      </c>
    </row>
    <row r="121">
      <c r="A121" s="11" t="n">
        <v>120</v>
      </c>
      <c r="B121" s="12" t="inlineStr">
        <is>
          <t>Are Kite Pulse cost figures exact?</t>
        </is>
      </c>
      <c r="C121" s="17" t="inlineStr">
        <is>
          <t>AEO</t>
        </is>
      </c>
      <c r="D121" s="12" t="inlineStr">
        <is>
          <t>Product guide</t>
        </is>
      </c>
      <c r="E121" s="12" t="inlineStr">
        <is>
          <t>FAQ (brand)</t>
        </is>
      </c>
      <c r="F121" s="13" t="n"/>
      <c r="G121" s="13" t="n"/>
      <c r="H121" s="14" t="n"/>
      <c r="I121" s="12" t="inlineStr">
        <is>
          <t>Informational</t>
        </is>
      </c>
      <c r="J121" s="15" t="n">
        <v>3</v>
      </c>
      <c r="K121" s="16">
        <f>IF(I121="","",IF(I121="Transactional",3,IF(I121="Commercial",2,1)))</f>
        <v/>
      </c>
      <c r="L121" s="16">
        <f>IF(G121="","",IF(G121&lt;=20,3,IF(G121&lt;=50,2,1)))</f>
        <v/>
      </c>
      <c r="M121" s="16">
        <f>IF(OR(J121="",K121="",L121=""),"",J121+K121+L121)</f>
        <v/>
      </c>
      <c r="N121" s="11" t="inlineStr">
        <is>
          <t>FAQ</t>
        </is>
      </c>
      <c r="O121" s="12" t="inlineStr">
        <is>
          <t>/faq</t>
        </is>
      </c>
      <c r="P121" s="12" t="inlineStr">
        <is>
          <t>FAQ</t>
        </is>
      </c>
      <c r="Q121" s="14" t="n"/>
      <c r="R121" s="14" t="n"/>
      <c r="S121" s="14" t="n"/>
      <c r="T121" s="12" t="inlineStr">
        <is>
          <t>Not started</t>
        </is>
      </c>
      <c r="U121" s="12" t="inlineStr">
        <is>
          <t>Also answer on related pages + FAQPage schema</t>
        </is>
      </c>
    </row>
    <row r="122">
      <c r="A122" s="11" t="n">
        <v>121</v>
      </c>
      <c r="B122" s="12" t="inlineStr">
        <is>
          <t>Can one person use Kite Pulse alone?</t>
        </is>
      </c>
      <c r="C122" s="17" t="inlineStr">
        <is>
          <t>AEO</t>
        </is>
      </c>
      <c r="D122" s="12" t="inlineStr">
        <is>
          <t>Product guide</t>
        </is>
      </c>
      <c r="E122" s="12" t="inlineStr">
        <is>
          <t>FAQ (brand)</t>
        </is>
      </c>
      <c r="F122" s="13" t="n"/>
      <c r="G122" s="13" t="n"/>
      <c r="H122" s="14" t="n"/>
      <c r="I122" s="12" t="inlineStr">
        <is>
          <t>Informational</t>
        </is>
      </c>
      <c r="J122" s="15" t="n">
        <v>3</v>
      </c>
      <c r="K122" s="16">
        <f>IF(I122="","",IF(I122="Transactional",3,IF(I122="Commercial",2,1)))</f>
        <v/>
      </c>
      <c r="L122" s="16">
        <f>IF(G122="","",IF(G122&lt;=20,3,IF(G122&lt;=50,2,1)))</f>
        <v/>
      </c>
      <c r="M122" s="16">
        <f>IF(OR(J122="",K122="",L122=""),"",J122+K122+L122)</f>
        <v/>
      </c>
      <c r="N122" s="11" t="inlineStr">
        <is>
          <t>FAQ</t>
        </is>
      </c>
      <c r="O122" s="12" t="inlineStr">
        <is>
          <t>/faq</t>
        </is>
      </c>
      <c r="P122" s="12" t="inlineStr">
        <is>
          <t>FAQ</t>
        </is>
      </c>
      <c r="Q122" s="14" t="n"/>
      <c r="R122" s="14" t="n"/>
      <c r="S122" s="14" t="n"/>
      <c r="T122" s="12" t="inlineStr">
        <is>
          <t>Not started</t>
        </is>
      </c>
      <c r="U122" s="12" t="inlineStr">
        <is>
          <t>Also answer on related pages + FAQPage schema</t>
        </is>
      </c>
    </row>
    <row r="123">
      <c r="A123" s="11" t="n">
        <v>122</v>
      </c>
      <c r="B123" s="12" t="inlineStr">
        <is>
          <t>How can I see how much each developer spends on AI coding tools?</t>
        </is>
      </c>
      <c r="C123" s="17" t="inlineStr">
        <is>
          <t>AEO</t>
        </is>
      </c>
      <c r="D123" s="12" t="inlineStr">
        <is>
          <t>Product guide</t>
        </is>
      </c>
      <c r="E123" s="12" t="inlineStr">
        <is>
          <t>Cost</t>
        </is>
      </c>
      <c r="F123" s="13" t="n"/>
      <c r="G123" s="13" t="n"/>
      <c r="H123" s="14" t="n"/>
      <c r="I123" s="12" t="inlineStr">
        <is>
          <t>Commercial</t>
        </is>
      </c>
      <c r="J123" s="15" t="n">
        <v>3</v>
      </c>
      <c r="K123" s="16">
        <f>IF(I123="","",IF(I123="Transactional",3,IF(I123="Commercial",2,1)))</f>
        <v/>
      </c>
      <c r="L123" s="16">
        <f>IF(G123="","",IF(G123&lt;=20,3,IF(G123&lt;=50,2,1)))</f>
        <v/>
      </c>
      <c r="M123" s="16">
        <f>IF(OR(J123="",K123="",L123=""),"",J123+K123+L123)</f>
        <v/>
      </c>
      <c r="N123" s="11" t="inlineStr">
        <is>
          <t>FAQ</t>
        </is>
      </c>
      <c r="O123" s="12" t="inlineStr">
        <is>
          <t>/ai-cost-tracking</t>
        </is>
      </c>
      <c r="P123" s="12" t="inlineStr">
        <is>
          <t>Interactive guide</t>
        </is>
      </c>
      <c r="Q123" s="14" t="n"/>
      <c r="R123" s="14" t="n"/>
      <c r="S123" s="14" t="n"/>
      <c r="T123" s="12" t="inlineStr">
        <is>
          <t>Not started</t>
        </is>
      </c>
      <c r="U123" s="12" t="inlineStr">
        <is>
          <t>Use in AEO Tracking tab</t>
        </is>
      </c>
    </row>
    <row r="124">
      <c r="A124" s="11" t="n">
        <v>123</v>
      </c>
      <c r="B124" s="12" t="inlineStr">
        <is>
          <t>How do I track Claude Code usage across my team?</t>
        </is>
      </c>
      <c r="C124" s="17" t="inlineStr">
        <is>
          <t>AEO</t>
        </is>
      </c>
      <c r="D124" s="12" t="inlineStr">
        <is>
          <t>Product guide</t>
        </is>
      </c>
      <c r="E124" s="12" t="inlineStr">
        <is>
          <t>Tool: Claude Code</t>
        </is>
      </c>
      <c r="F124" s="13" t="n"/>
      <c r="G124" s="13" t="n"/>
      <c r="H124" s="14" t="n"/>
      <c r="I124" s="12" t="inlineStr">
        <is>
          <t>Commercial</t>
        </is>
      </c>
      <c r="J124" s="15" t="n">
        <v>3</v>
      </c>
      <c r="K124" s="16">
        <f>IF(I124="","",IF(I124="Transactional",3,IF(I124="Commercial",2,1)))</f>
        <v/>
      </c>
      <c r="L124" s="16">
        <f>IF(G124="","",IF(G124&lt;=20,3,IF(G124&lt;=50,2,1)))</f>
        <v/>
      </c>
      <c r="M124" s="16">
        <f>IF(OR(J124="",K124="",L124=""),"",J124+K124+L124)</f>
        <v/>
      </c>
      <c r="N124" s="11" t="inlineStr">
        <is>
          <t>FAQ</t>
        </is>
      </c>
      <c r="O124" s="12" t="inlineStr">
        <is>
          <t>/integrations/claude-code</t>
        </is>
      </c>
      <c r="P124" s="12" t="inlineStr">
        <is>
          <t>Integration</t>
        </is>
      </c>
      <c r="Q124" s="14" t="n"/>
      <c r="R124" s="14" t="n"/>
      <c r="S124" s="14" t="n"/>
      <c r="T124" s="12" t="inlineStr">
        <is>
          <t>Not started</t>
        </is>
      </c>
      <c r="U124" s="12" t="inlineStr">
        <is>
          <t>Use in AEO Tracking tab</t>
        </is>
      </c>
    </row>
    <row r="125">
      <c r="A125" s="11" t="n">
        <v>124</v>
      </c>
      <c r="B125" s="12" t="inlineStr">
        <is>
          <t>How do I know which developers are close to their Claude limit?</t>
        </is>
      </c>
      <c r="C125" s="17" t="inlineStr">
        <is>
          <t>AEO</t>
        </is>
      </c>
      <c r="D125" s="12" t="inlineStr">
        <is>
          <t>Product guide</t>
        </is>
      </c>
      <c r="E125" s="12" t="inlineStr">
        <is>
          <t>Limits</t>
        </is>
      </c>
      <c r="F125" s="13" t="n"/>
      <c r="G125" s="13" t="n"/>
      <c r="H125" s="14" t="n"/>
      <c r="I125" s="12" t="inlineStr">
        <is>
          <t>Commercial</t>
        </is>
      </c>
      <c r="J125" s="15" t="n">
        <v>3</v>
      </c>
      <c r="K125" s="16">
        <f>IF(I125="","",IF(I125="Transactional",3,IF(I125="Commercial",2,1)))</f>
        <v/>
      </c>
      <c r="L125" s="16">
        <f>IF(G125="","",IF(G125&lt;=20,3,IF(G125&lt;=50,2,1)))</f>
        <v/>
      </c>
      <c r="M125" s="16">
        <f>IF(OR(J125="",K125="",L125=""),"",J125+K125+L125)</f>
        <v/>
      </c>
      <c r="N125" s="11" t="inlineStr">
        <is>
          <t>FAQ</t>
        </is>
      </c>
      <c r="O125" s="12" t="inlineStr">
        <is>
          <t>/plan-headroom</t>
        </is>
      </c>
      <c r="P125" s="12" t="inlineStr">
        <is>
          <t>Feature</t>
        </is>
      </c>
      <c r="Q125" s="14" t="n"/>
      <c r="R125" s="14" t="n"/>
      <c r="S125" s="14" t="n"/>
      <c r="T125" s="12" t="inlineStr">
        <is>
          <t>Not started</t>
        </is>
      </c>
      <c r="U125" s="12" t="inlineStr">
        <is>
          <t>Use in AEO Tracking tab</t>
        </is>
      </c>
    </row>
    <row r="126">
      <c r="A126" s="11" t="n">
        <v>125</v>
      </c>
      <c r="B126" s="12" t="inlineStr">
        <is>
          <t>What is the best tool to track AI coding assistant usage for a team?</t>
        </is>
      </c>
      <c r="C126" s="17" t="inlineStr">
        <is>
          <t>AEO</t>
        </is>
      </c>
      <c r="D126" s="12" t="inlineStr">
        <is>
          <t>Product guide</t>
        </is>
      </c>
      <c r="E126" s="12" t="inlineStr">
        <is>
          <t>Category</t>
        </is>
      </c>
      <c r="F126" s="13" t="n"/>
      <c r="G126" s="13" t="n"/>
      <c r="H126" s="14" t="n"/>
      <c r="I126" s="12" t="inlineStr">
        <is>
          <t>Commercial</t>
        </is>
      </c>
      <c r="J126" s="15" t="n">
        <v>3</v>
      </c>
      <c r="K126" s="16">
        <f>IF(I126="","",IF(I126="Transactional",3,IF(I126="Commercial",2,1)))</f>
        <v/>
      </c>
      <c r="L126" s="16">
        <f>IF(G126="","",IF(G126&lt;=20,3,IF(G126&lt;=50,2,1)))</f>
        <v/>
      </c>
      <c r="M126" s="16">
        <f>IF(OR(J126="",K126="",L126=""),"",J126+K126+L126)</f>
        <v/>
      </c>
      <c r="N126" s="11" t="inlineStr">
        <is>
          <t>FAQ</t>
        </is>
      </c>
      <c r="O126" s="12" t="inlineStr">
        <is>
          <t>/</t>
        </is>
      </c>
      <c r="P126" s="12" t="inlineStr">
        <is>
          <t>Home</t>
        </is>
      </c>
      <c r="Q126" s="14" t="n"/>
      <c r="R126" s="14" t="n"/>
      <c r="S126" s="14" t="n"/>
      <c r="T126" s="12" t="inlineStr">
        <is>
          <t>Not started</t>
        </is>
      </c>
      <c r="U126" s="12" t="inlineStr">
        <is>
          <t>Use in AEO Tracking tab</t>
        </is>
      </c>
    </row>
    <row r="127">
      <c r="A127" s="11" t="n">
        <v>126</v>
      </c>
      <c r="B127" s="12" t="inlineStr">
        <is>
          <t>Is there a self-hosted tool to monitor AI coding tool usage?</t>
        </is>
      </c>
      <c r="C127" s="17" t="inlineStr">
        <is>
          <t>AEO</t>
        </is>
      </c>
      <c r="D127" s="12" t="inlineStr">
        <is>
          <t>Product guide</t>
        </is>
      </c>
      <c r="E127" s="12" t="inlineStr">
        <is>
          <t>Privacy &amp; Self-hosted</t>
        </is>
      </c>
      <c r="F127" s="13" t="n"/>
      <c r="G127" s="13" t="n"/>
      <c r="H127" s="14" t="n"/>
      <c r="I127" s="12" t="inlineStr">
        <is>
          <t>Commercial</t>
        </is>
      </c>
      <c r="J127" s="15" t="n">
        <v>3</v>
      </c>
      <c r="K127" s="16">
        <f>IF(I127="","",IF(I127="Transactional",3,IF(I127="Commercial",2,1)))</f>
        <v/>
      </c>
      <c r="L127" s="16">
        <f>IF(G127="","",IF(G127&lt;=20,3,IF(G127&lt;=50,2,1)))</f>
        <v/>
      </c>
      <c r="M127" s="16">
        <f>IF(OR(J127="",K127="",L127=""),"",J127+K127+L127)</f>
        <v/>
      </c>
      <c r="N127" s="11" t="inlineStr">
        <is>
          <t>FAQ</t>
        </is>
      </c>
      <c r="O127" s="12" t="inlineStr">
        <is>
          <t>/self-hosted</t>
        </is>
      </c>
      <c r="P127" s="12" t="inlineStr">
        <is>
          <t>Trust</t>
        </is>
      </c>
      <c r="Q127" s="14" t="n"/>
      <c r="R127" s="14" t="n"/>
      <c r="S127" s="14" t="n"/>
      <c r="T127" s="12" t="inlineStr">
        <is>
          <t>Not started</t>
        </is>
      </c>
      <c r="U127" s="12" t="inlineStr">
        <is>
          <t>Use in AEO Tracking tab</t>
        </is>
      </c>
    </row>
    <row r="128">
      <c r="A128" s="11" t="n">
        <v>127</v>
      </c>
      <c r="B128" s="12" t="inlineStr">
        <is>
          <t>How can I see all AI coding tools my team uses in one place?</t>
        </is>
      </c>
      <c r="C128" s="17" t="inlineStr">
        <is>
          <t>AEO</t>
        </is>
      </c>
      <c r="D128" s="12" t="inlineStr">
        <is>
          <t>Product guide</t>
        </is>
      </c>
      <c r="E128" s="12" t="inlineStr">
        <is>
          <t>Multi-tool</t>
        </is>
      </c>
      <c r="F128" s="13" t="n"/>
      <c r="G128" s="13" t="n"/>
      <c r="H128" s="14" t="n"/>
      <c r="I128" s="12" t="inlineStr">
        <is>
          <t>Commercial</t>
        </is>
      </c>
      <c r="J128" s="15" t="n">
        <v>3</v>
      </c>
      <c r="K128" s="16">
        <f>IF(I128="","",IF(I128="Transactional",3,IF(I128="Commercial",2,1)))</f>
        <v/>
      </c>
      <c r="L128" s="16">
        <f>IF(G128="","",IF(G128&lt;=20,3,IF(G128&lt;=50,2,1)))</f>
        <v/>
      </c>
      <c r="M128" s="16">
        <f>IF(OR(J128="",K128="",L128=""),"",J128+K128+L128)</f>
        <v/>
      </c>
      <c r="N128" s="11" t="inlineStr">
        <is>
          <t>FAQ</t>
        </is>
      </c>
      <c r="O128" s="12" t="inlineStr">
        <is>
          <t>/integrations</t>
        </is>
      </c>
      <c r="P128" s="12" t="inlineStr">
        <is>
          <t>Integration</t>
        </is>
      </c>
      <c r="Q128" s="14" t="n"/>
      <c r="R128" s="14" t="n"/>
      <c r="S128" s="14" t="n"/>
      <c r="T128" s="12" t="inlineStr">
        <is>
          <t>Not started</t>
        </is>
      </c>
      <c r="U128" s="12" t="inlineStr">
        <is>
          <t>Use in AEO Tracking tab</t>
        </is>
      </c>
    </row>
    <row r="129">
      <c r="A129" s="11" t="n">
        <v>128</v>
      </c>
      <c r="B129" s="12" t="inlineStr">
        <is>
          <t>How do I measure the ROI of AI coding tools?</t>
        </is>
      </c>
      <c r="C129" s="17" t="inlineStr">
        <is>
          <t>AEO</t>
        </is>
      </c>
      <c r="D129" s="12" t="inlineStr">
        <is>
          <t>Product guide</t>
        </is>
      </c>
      <c r="E129" s="12" t="inlineStr">
        <is>
          <t>Cost</t>
        </is>
      </c>
      <c r="F129" s="13" t="n"/>
      <c r="G129" s="13" t="n"/>
      <c r="H129" s="14" t="n"/>
      <c r="I129" s="12" t="inlineStr">
        <is>
          <t>Informational</t>
        </is>
      </c>
      <c r="J129" s="15" t="n">
        <v>3</v>
      </c>
      <c r="K129" s="16">
        <f>IF(I129="","",IF(I129="Transactional",3,IF(I129="Commercial",2,1)))</f>
        <v/>
      </c>
      <c r="L129" s="16">
        <f>IF(G129="","",IF(G129&lt;=20,3,IF(G129&lt;=50,2,1)))</f>
        <v/>
      </c>
      <c r="M129" s="16">
        <f>IF(OR(J129="",K129="",L129=""),"",J129+K129+L129)</f>
        <v/>
      </c>
      <c r="N129" s="11" t="inlineStr">
        <is>
          <t>FAQ</t>
        </is>
      </c>
      <c r="O129" s="12" t="inlineStr">
        <is>
          <t>/blog/ai-coding-roi</t>
        </is>
      </c>
      <c r="P129" s="12" t="inlineStr">
        <is>
          <t>Interactive guide</t>
        </is>
      </c>
      <c r="Q129" s="14" t="n"/>
      <c r="R129" s="14" t="n"/>
      <c r="S129" s="14" t="n"/>
      <c r="T129" s="12" t="inlineStr">
        <is>
          <t>Not started</t>
        </is>
      </c>
      <c r="U129" s="12" t="inlineStr">
        <is>
          <t>Use in AEO Tracking tab</t>
        </is>
      </c>
    </row>
    <row r="130">
      <c r="A130" s="11" t="n">
        <v>129</v>
      </c>
      <c r="B130" s="12" t="inlineStr">
        <is>
          <t>How can I find shared or unused AI tool accounts?</t>
        </is>
      </c>
      <c r="C130" s="17" t="inlineStr">
        <is>
          <t>AEO</t>
        </is>
      </c>
      <c r="D130" s="12" t="inlineStr">
        <is>
          <t>Product guide</t>
        </is>
      </c>
      <c r="E130" s="12" t="inlineStr">
        <is>
          <t>Shadow AI &amp; Seats</t>
        </is>
      </c>
      <c r="F130" s="13" t="n"/>
      <c r="G130" s="13" t="n"/>
      <c r="H130" s="14" t="n"/>
      <c r="I130" s="12" t="inlineStr">
        <is>
          <t>Commercial</t>
        </is>
      </c>
      <c r="J130" s="15" t="n">
        <v>3</v>
      </c>
      <c r="K130" s="16">
        <f>IF(I130="","",IF(I130="Transactional",3,IF(I130="Commercial",2,1)))</f>
        <v/>
      </c>
      <c r="L130" s="16">
        <f>IF(G130="","",IF(G130&lt;=20,3,IF(G130&lt;=50,2,1)))</f>
        <v/>
      </c>
      <c r="M130" s="16">
        <f>IF(OR(J130="",K130="",L130=""),"",J130+K130+L130)</f>
        <v/>
      </c>
      <c r="N130" s="11" t="inlineStr">
        <is>
          <t>FAQ</t>
        </is>
      </c>
      <c r="O130" s="12" t="inlineStr">
        <is>
          <t>/shadow-ai</t>
        </is>
      </c>
      <c r="P130" s="12" t="inlineStr">
        <is>
          <t>Solution</t>
        </is>
      </c>
      <c r="Q130" s="14" t="n"/>
      <c r="R130" s="14" t="n"/>
      <c r="S130" s="14" t="n"/>
      <c r="T130" s="12" t="inlineStr">
        <is>
          <t>Not started</t>
        </is>
      </c>
      <c r="U130" s="12" t="inlineStr">
        <is>
          <t>Use in AEO Tracking tab</t>
        </is>
      </c>
    </row>
    <row r="131">
      <c r="A131" s="11" t="n">
        <v>130</v>
      </c>
      <c r="B131" s="12" t="inlineStr">
        <is>
          <t>How do I find out which AI tools developers use without approval?</t>
        </is>
      </c>
      <c r="C131" s="17" t="inlineStr">
        <is>
          <t>AEO</t>
        </is>
      </c>
      <c r="D131" s="12" t="inlineStr">
        <is>
          <t>Product guide</t>
        </is>
      </c>
      <c r="E131" s="12" t="inlineStr">
        <is>
          <t>Shadow AI &amp; Seats</t>
        </is>
      </c>
      <c r="F131" s="13" t="n"/>
      <c r="G131" s="13" t="n"/>
      <c r="H131" s="14" t="n"/>
      <c r="I131" s="12" t="inlineStr">
        <is>
          <t>Commercial</t>
        </is>
      </c>
      <c r="J131" s="15" t="n">
        <v>3</v>
      </c>
      <c r="K131" s="16">
        <f>IF(I131="","",IF(I131="Transactional",3,IF(I131="Commercial",2,1)))</f>
        <v/>
      </c>
      <c r="L131" s="16">
        <f>IF(G131="","",IF(G131&lt;=20,3,IF(G131&lt;=50,2,1)))</f>
        <v/>
      </c>
      <c r="M131" s="16">
        <f>IF(OR(J131="",K131="",L131=""),"",J131+K131+L131)</f>
        <v/>
      </c>
      <c r="N131" s="11" t="inlineStr">
        <is>
          <t>FAQ</t>
        </is>
      </c>
      <c r="O131" s="12" t="inlineStr">
        <is>
          <t>/shadow-ai</t>
        </is>
      </c>
      <c r="P131" s="12" t="inlineStr">
        <is>
          <t>Solution</t>
        </is>
      </c>
      <c r="Q131" s="14" t="n"/>
      <c r="R131" s="14" t="n"/>
      <c r="S131" s="14" t="n"/>
      <c r="T131" s="12" t="inlineStr">
        <is>
          <t>Not started</t>
        </is>
      </c>
      <c r="U131" s="12" t="inlineStr">
        <is>
          <t>Use in AEO Tracking tab</t>
        </is>
      </c>
    </row>
    <row r="132">
      <c r="A132" s="11" t="n">
        <v>131</v>
      </c>
      <c r="B132" s="12" t="inlineStr">
        <is>
          <t>How can managers spot struggling developers early without surveys?</t>
        </is>
      </c>
      <c r="C132" s="17" t="inlineStr">
        <is>
          <t>AEO</t>
        </is>
      </c>
      <c r="D132" s="12" t="inlineStr">
        <is>
          <t>Product guide</t>
        </is>
      </c>
      <c r="E132" s="12" t="inlineStr">
        <is>
          <t>Engineering Intelligence</t>
        </is>
      </c>
      <c r="F132" s="13" t="n"/>
      <c r="G132" s="13" t="n"/>
      <c r="H132" s="14" t="n"/>
      <c r="I132" s="12" t="inlineStr">
        <is>
          <t>Commercial</t>
        </is>
      </c>
      <c r="J132" s="15" t="n">
        <v>3</v>
      </c>
      <c r="K132" s="16">
        <f>IF(I132="","",IF(I132="Transactional",3,IF(I132="Commercial",2,1)))</f>
        <v/>
      </c>
      <c r="L132" s="16">
        <f>IF(G132="","",IF(G132&lt;=20,3,IF(G132&lt;=50,2,1)))</f>
        <v/>
      </c>
      <c r="M132" s="16">
        <f>IF(OR(J132="",K132="",L132=""),"",J132+K132+L132)</f>
        <v/>
      </c>
      <c r="N132" s="11" t="inlineStr">
        <is>
          <t>FAQ</t>
        </is>
      </c>
      <c r="O132" s="12" t="inlineStr">
        <is>
          <t>/engineering-intelligence</t>
        </is>
      </c>
      <c r="P132" s="12" t="inlineStr">
        <is>
          <t>Solution</t>
        </is>
      </c>
      <c r="Q132" s="14" t="n"/>
      <c r="R132" s="14" t="n"/>
      <c r="S132" s="14" t="n"/>
      <c r="T132" s="12" t="inlineStr">
        <is>
          <t>Not started</t>
        </is>
      </c>
      <c r="U132" s="12" t="inlineStr">
        <is>
          <t>Use in AEO Tracking tab</t>
        </is>
      </c>
    </row>
    <row r="133">
      <c r="A133" s="11" t="n">
        <v>132</v>
      </c>
      <c r="B133" s="12" t="inlineStr">
        <is>
          <t>How do I know what my engineering team is working on right now?</t>
        </is>
      </c>
      <c r="C133" s="17" t="inlineStr">
        <is>
          <t>AEO</t>
        </is>
      </c>
      <c r="D133" s="12" t="inlineStr">
        <is>
          <t>Product guide</t>
        </is>
      </c>
      <c r="E133" s="12" t="inlineStr">
        <is>
          <t>Engineering Intelligence</t>
        </is>
      </c>
      <c r="F133" s="13" t="n"/>
      <c r="G133" s="13" t="n"/>
      <c r="H133" s="14" t="n"/>
      <c r="I133" s="12" t="inlineStr">
        <is>
          <t>Commercial</t>
        </is>
      </c>
      <c r="J133" s="15" t="n">
        <v>3</v>
      </c>
      <c r="K133" s="16">
        <f>IF(I133="","",IF(I133="Transactional",3,IF(I133="Commercial",2,1)))</f>
        <v/>
      </c>
      <c r="L133" s="16">
        <f>IF(G133="","",IF(G133&lt;=20,3,IF(G133&lt;=50,2,1)))</f>
        <v/>
      </c>
      <c r="M133" s="16">
        <f>IF(OR(J133="",K133="",L133=""),"",J133+K133+L133)</f>
        <v/>
      </c>
      <c r="N133" s="11" t="inlineStr">
        <is>
          <t>FAQ</t>
        </is>
      </c>
      <c r="O133" s="12" t="inlineStr">
        <is>
          <t>/engineering-intelligence</t>
        </is>
      </c>
      <c r="P133" s="12" t="inlineStr">
        <is>
          <t>Solution</t>
        </is>
      </c>
      <c r="Q133" s="14" t="n"/>
      <c r="R133" s="14" t="n"/>
      <c r="S133" s="14" t="n"/>
      <c r="T133" s="12" t="inlineStr">
        <is>
          <t>Not started</t>
        </is>
      </c>
      <c r="U133" s="12" t="inlineStr">
        <is>
          <t>Use in AEO Tracking tab</t>
        </is>
      </c>
    </row>
    <row r="134">
      <c r="A134" s="11" t="n">
        <v>133</v>
      </c>
      <c r="B134" s="12" t="inlineStr">
        <is>
          <t>How do I stop my team solving the same bug twice?</t>
        </is>
      </c>
      <c r="C134" s="17" t="inlineStr">
        <is>
          <t>AEO</t>
        </is>
      </c>
      <c r="D134" s="12" t="inlineStr">
        <is>
          <t>Product guide</t>
        </is>
      </c>
      <c r="E134" s="12" t="inlineStr">
        <is>
          <t>Knowledge</t>
        </is>
      </c>
      <c r="F134" s="13" t="n"/>
      <c r="G134" s="13" t="n"/>
      <c r="H134" s="14" t="n"/>
      <c r="I134" s="12" t="inlineStr">
        <is>
          <t>Informational</t>
        </is>
      </c>
      <c r="J134" s="15" t="n">
        <v>3</v>
      </c>
      <c r="K134" s="16">
        <f>IF(I134="","",IF(I134="Transactional",3,IF(I134="Commercial",2,1)))</f>
        <v/>
      </c>
      <c r="L134" s="16">
        <f>IF(G134="","",IF(G134&lt;=20,3,IF(G134&lt;=50,2,1)))</f>
        <v/>
      </c>
      <c r="M134" s="16">
        <f>IF(OR(J134="",K134="",L134=""),"",J134+K134+L134)</f>
        <v/>
      </c>
      <c r="N134" s="11" t="inlineStr">
        <is>
          <t>FAQ</t>
        </is>
      </c>
      <c r="O134" s="12" t="inlineStr">
        <is>
          <t>/blog/institutional-knowledge</t>
        </is>
      </c>
      <c r="P134" s="12" t="inlineStr">
        <is>
          <t>Blog</t>
        </is>
      </c>
      <c r="Q134" s="14" t="n"/>
      <c r="R134" s="14" t="n"/>
      <c r="S134" s="14" t="n"/>
      <c r="T134" s="12" t="inlineStr">
        <is>
          <t>Not started</t>
        </is>
      </c>
      <c r="U134" s="12" t="inlineStr">
        <is>
          <t>Use in AEO Tracking tab</t>
        </is>
      </c>
    </row>
    <row r="135">
      <c r="A135" s="11" t="n">
        <v>134</v>
      </c>
      <c r="B135" s="12" t="inlineStr">
        <is>
          <t>Why are we shipping more commits but not delivering faster?</t>
        </is>
      </c>
      <c r="C135" s="17" t="inlineStr">
        <is>
          <t>AEO</t>
        </is>
      </c>
      <c r="D135" s="12" t="inlineStr">
        <is>
          <t>Product guide</t>
        </is>
      </c>
      <c r="E135" s="12" t="inlineStr">
        <is>
          <t>Engineering Intelligence</t>
        </is>
      </c>
      <c r="F135" s="13" t="n"/>
      <c r="G135" s="13" t="n"/>
      <c r="H135" s="14" t="n"/>
      <c r="I135" s="12" t="inlineStr">
        <is>
          <t>Informational</t>
        </is>
      </c>
      <c r="J135" s="15" t="n">
        <v>3</v>
      </c>
      <c r="K135" s="16">
        <f>IF(I135="","",IF(I135="Transactional",3,IF(I135="Commercial",2,1)))</f>
        <v/>
      </c>
      <c r="L135" s="16">
        <f>IF(G135="","",IF(G135&lt;=20,3,IF(G135&lt;=50,2,1)))</f>
        <v/>
      </c>
      <c r="M135" s="16">
        <f>IF(OR(J135="",K135="",L135=""),"",J135+K135+L135)</f>
        <v/>
      </c>
      <c r="N135" s="11" t="inlineStr">
        <is>
          <t>FAQ</t>
        </is>
      </c>
      <c r="O135" s="12" t="inlineStr">
        <is>
          <t>/blog/measure-developer-productivity-ai</t>
        </is>
      </c>
      <c r="P135" s="12" t="inlineStr">
        <is>
          <t>Interactive guide</t>
        </is>
      </c>
      <c r="Q135" s="14" t="n"/>
      <c r="R135" s="14" t="n"/>
      <c r="S135" s="14" t="n"/>
      <c r="T135" s="12" t="inlineStr">
        <is>
          <t>Not started</t>
        </is>
      </c>
      <c r="U135" s="12" t="inlineStr">
        <is>
          <t>Use in AEO Tracking tab</t>
        </is>
      </c>
    </row>
    <row r="136">
      <c r="A136" s="11" t="n">
        <v>135</v>
      </c>
      <c r="B136" s="12" t="inlineStr">
        <is>
          <t>How do I find passwords or API keys leaked in AI chats?</t>
        </is>
      </c>
      <c r="C136" s="17" t="inlineStr">
        <is>
          <t>AEO</t>
        </is>
      </c>
      <c r="D136" s="12" t="inlineStr">
        <is>
          <t>Product guide</t>
        </is>
      </c>
      <c r="E136" s="12" t="inlineStr">
        <is>
          <t>Shadow AI &amp; Seats</t>
        </is>
      </c>
      <c r="F136" s="13" t="n"/>
      <c r="G136" s="13" t="n"/>
      <c r="H136" s="14" t="n"/>
      <c r="I136" s="12" t="inlineStr">
        <is>
          <t>Informational</t>
        </is>
      </c>
      <c r="J136" s="15" t="n">
        <v>3</v>
      </c>
      <c r="K136" s="16">
        <f>IF(I136="","",IF(I136="Transactional",3,IF(I136="Commercial",2,1)))</f>
        <v/>
      </c>
      <c r="L136" s="16">
        <f>IF(G136="","",IF(G136&lt;=20,3,IF(G136&lt;=50,2,1)))</f>
        <v/>
      </c>
      <c r="M136" s="16">
        <f>IF(OR(J136="",K136="",L136=""),"",J136+K136+L136)</f>
        <v/>
      </c>
      <c r="N136" s="11" t="inlineStr">
        <is>
          <t>FAQ</t>
        </is>
      </c>
      <c r="O136" s="12" t="inlineStr">
        <is>
          <t>/blog/secrets-in-ai-prompts</t>
        </is>
      </c>
      <c r="P136" s="12" t="inlineStr">
        <is>
          <t>Blog</t>
        </is>
      </c>
      <c r="Q136" s="14" t="n"/>
      <c r="R136" s="14" t="n"/>
      <c r="S136" s="14" t="n"/>
      <c r="T136" s="12" t="inlineStr">
        <is>
          <t>Not started</t>
        </is>
      </c>
      <c r="U136" s="12" t="inlineStr">
        <is>
          <t>Use in AEO Tracking tab</t>
        </is>
      </c>
    </row>
    <row r="137">
      <c r="A137" s="11" t="n">
        <v>136</v>
      </c>
      <c r="B137" s="12" t="inlineStr">
        <is>
          <t>Can an AI assistant write my weekly team update from engineering data?</t>
        </is>
      </c>
      <c r="C137" s="17" t="inlineStr">
        <is>
          <t>AEO</t>
        </is>
      </c>
      <c r="D137" s="12" t="inlineStr">
        <is>
          <t>Product guide</t>
        </is>
      </c>
      <c r="E137" s="12" t="inlineStr">
        <is>
          <t>AI Agents &amp; MCP</t>
        </is>
      </c>
      <c r="F137" s="13" t="n"/>
      <c r="G137" s="13" t="n"/>
      <c r="H137" s="14" t="n"/>
      <c r="I137" s="12" t="inlineStr">
        <is>
          <t>Informational</t>
        </is>
      </c>
      <c r="J137" s="15" t="n">
        <v>3</v>
      </c>
      <c r="K137" s="16">
        <f>IF(I137="","",IF(I137="Transactional",3,IF(I137="Commercial",2,1)))</f>
        <v/>
      </c>
      <c r="L137" s="16">
        <f>IF(G137="","",IF(G137&lt;=20,3,IF(G137&lt;=50,2,1)))</f>
        <v/>
      </c>
      <c r="M137" s="16">
        <f>IF(OR(J137="",K137="",L137=""),"",J137+K137+L137)</f>
        <v/>
      </c>
      <c r="N137" s="11" t="inlineStr">
        <is>
          <t>FAQ</t>
        </is>
      </c>
      <c r="O137" s="12" t="inlineStr">
        <is>
          <t>/blog/ai-weekly-team-report</t>
        </is>
      </c>
      <c r="P137" s="12" t="inlineStr">
        <is>
          <t>Blog</t>
        </is>
      </c>
      <c r="Q137" s="14" t="n"/>
      <c r="R137" s="14" t="n"/>
      <c r="S137" s="14" t="n"/>
      <c r="T137" s="12" t="inlineStr">
        <is>
          <t>Not started</t>
        </is>
      </c>
      <c r="U137" s="12" t="inlineStr">
        <is>
          <t>Use in AEO Tracking tab</t>
        </is>
      </c>
    </row>
    <row r="138">
      <c r="A138" s="11" t="n">
        <v>137</v>
      </c>
      <c r="B138" s="12" t="inlineStr">
        <is>
          <t>How do I track AI coding usage without monitoring keystrokes?</t>
        </is>
      </c>
      <c r="C138" s="17" t="inlineStr">
        <is>
          <t>AEO</t>
        </is>
      </c>
      <c r="D138" s="12" t="inlineStr">
        <is>
          <t>Product guide</t>
        </is>
      </c>
      <c r="E138" s="12" t="inlineStr">
        <is>
          <t>Privacy &amp; Self-hosted</t>
        </is>
      </c>
      <c r="F138" s="13" t="n"/>
      <c r="G138" s="13" t="n"/>
      <c r="H138" s="14" t="n"/>
      <c r="I138" s="12" t="inlineStr">
        <is>
          <t>Commercial</t>
        </is>
      </c>
      <c r="J138" s="15" t="n">
        <v>3</v>
      </c>
      <c r="K138" s="16">
        <f>IF(I138="","",IF(I138="Transactional",3,IF(I138="Commercial",2,1)))</f>
        <v/>
      </c>
      <c r="L138" s="16">
        <f>IF(G138="","",IF(G138&lt;=20,3,IF(G138&lt;=50,2,1)))</f>
        <v/>
      </c>
      <c r="M138" s="16">
        <f>IF(OR(J138="",K138="",L138=""),"",J138+K138+L138)</f>
        <v/>
      </c>
      <c r="N138" s="11" t="inlineStr">
        <is>
          <t>FAQ</t>
        </is>
      </c>
      <c r="O138" s="12" t="inlineStr">
        <is>
          <t>/privacy</t>
        </is>
      </c>
      <c r="P138" s="12" t="inlineStr">
        <is>
          <t>Trust</t>
        </is>
      </c>
      <c r="Q138" s="14" t="n"/>
      <c r="R138" s="14" t="n"/>
      <c r="S138" s="14" t="n"/>
      <c r="T138" s="12" t="inlineStr">
        <is>
          <t>Not started</t>
        </is>
      </c>
      <c r="U138" s="12" t="inlineStr">
        <is>
          <t>Use in AEO Tracking tab</t>
        </is>
      </c>
    </row>
    <row r="139">
      <c r="A139" s="11" t="n">
        <v>138</v>
      </c>
      <c r="B139" s="12" t="inlineStr">
        <is>
          <t>claude code team analytics</t>
        </is>
      </c>
      <c r="C139" s="11" t="inlineStr">
        <is>
          <t>SEO</t>
        </is>
      </c>
      <c r="D139" s="12" t="inlineStr">
        <is>
          <t>Google Autocomplete</t>
        </is>
      </c>
      <c r="E139" s="12" t="inlineStr">
        <is>
          <t>Tool: Claude Code</t>
        </is>
      </c>
      <c r="F139" s="13" t="n"/>
      <c r="G139" s="13" t="n"/>
      <c r="H139" s="14" t="n"/>
      <c r="I139" s="12" t="inlineStr">
        <is>
          <t>Commercial</t>
        </is>
      </c>
      <c r="J139" s="15" t="n">
        <v>3</v>
      </c>
      <c r="K139" s="16">
        <f>IF(I139="","",IF(I139="Transactional",3,IF(I139="Commercial",2,1)))</f>
        <v/>
      </c>
      <c r="L139" s="16">
        <f>IF(G139="","",IF(G139&lt;=20,3,IF(G139&lt;=50,2,1)))</f>
        <v/>
      </c>
      <c r="M139" s="16">
        <f>IF(OR(J139="",K139="",L139=""),"",J139+K139+L139)</f>
        <v/>
      </c>
      <c r="N139" s="11" t="inlineStr">
        <is>
          <t>Secondary</t>
        </is>
      </c>
      <c r="O139" s="12" t="inlineStr">
        <is>
          <t>/integrations/claude-code</t>
        </is>
      </c>
      <c r="P139" s="12" t="inlineStr">
        <is>
          <t>Integration</t>
        </is>
      </c>
      <c r="Q139" s="14" t="n"/>
      <c r="R139" s="14" t="n"/>
      <c r="S139" s="14" t="n"/>
      <c r="T139" s="12" t="inlineStr">
        <is>
          <t>Not started</t>
        </is>
      </c>
      <c r="U139" s="12" t="inlineStr"/>
    </row>
    <row r="140">
      <c r="A140" s="11" t="n">
        <v>139</v>
      </c>
      <c r="B140" s="12" t="inlineStr">
        <is>
          <t>claude code team usage analytics</t>
        </is>
      </c>
      <c r="C140" s="11" t="inlineStr">
        <is>
          <t>SEO</t>
        </is>
      </c>
      <c r="D140" s="12" t="inlineStr">
        <is>
          <t>Google Autocomplete</t>
        </is>
      </c>
      <c r="E140" s="12" t="inlineStr">
        <is>
          <t>Tool: Claude Code</t>
        </is>
      </c>
      <c r="F140" s="13" t="n"/>
      <c r="G140" s="13" t="n"/>
      <c r="H140" s="14" t="n"/>
      <c r="I140" s="12" t="inlineStr">
        <is>
          <t>Commercial</t>
        </is>
      </c>
      <c r="J140" s="15" t="n">
        <v>3</v>
      </c>
      <c r="K140" s="16">
        <f>IF(I140="","",IF(I140="Transactional",3,IF(I140="Commercial",2,1)))</f>
        <v/>
      </c>
      <c r="L140" s="16">
        <f>IF(G140="","",IF(G140&lt;=20,3,IF(G140&lt;=50,2,1)))</f>
        <v/>
      </c>
      <c r="M140" s="16">
        <f>IF(OR(J140="",K140="",L140=""),"",J140+K140+L140)</f>
        <v/>
      </c>
      <c r="N140" s="11" t="inlineStr">
        <is>
          <t>Secondary</t>
        </is>
      </c>
      <c r="O140" s="12" t="inlineStr">
        <is>
          <t>/integrations/claude-code</t>
        </is>
      </c>
      <c r="P140" s="12" t="inlineStr">
        <is>
          <t>Integration</t>
        </is>
      </c>
      <c r="Q140" s="14" t="n"/>
      <c r="R140" s="14" t="n"/>
      <c r="S140" s="14" t="n"/>
      <c r="T140" s="12" t="inlineStr">
        <is>
          <t>Not started</t>
        </is>
      </c>
      <c r="U140" s="12" t="inlineStr"/>
    </row>
    <row r="141">
      <c r="A141" s="11" t="n">
        <v>140</v>
      </c>
      <c r="B141" s="12" t="inlineStr">
        <is>
          <t>claude code team dashboard</t>
        </is>
      </c>
      <c r="C141" s="11" t="inlineStr">
        <is>
          <t>SEO</t>
        </is>
      </c>
      <c r="D141" s="12" t="inlineStr">
        <is>
          <t>Google Autocomplete</t>
        </is>
      </c>
      <c r="E141" s="12" t="inlineStr">
        <is>
          <t>Tool: Claude Code</t>
        </is>
      </c>
      <c r="F141" s="13" t="n"/>
      <c r="G141" s="13" t="n"/>
      <c r="H141" s="14" t="n"/>
      <c r="I141" s="12" t="inlineStr">
        <is>
          <t>Commercial</t>
        </is>
      </c>
      <c r="J141" s="15" t="n">
        <v>3</v>
      </c>
      <c r="K141" s="16">
        <f>IF(I141="","",IF(I141="Transactional",3,IF(I141="Commercial",2,1)))</f>
        <v/>
      </c>
      <c r="L141" s="16">
        <f>IF(G141="","",IF(G141&lt;=20,3,IF(G141&lt;=50,2,1)))</f>
        <v/>
      </c>
      <c r="M141" s="16">
        <f>IF(OR(J141="",K141="",L141=""),"",J141+K141+L141)</f>
        <v/>
      </c>
      <c r="N141" s="11" t="inlineStr">
        <is>
          <t>Secondary</t>
        </is>
      </c>
      <c r="O141" s="12" t="inlineStr">
        <is>
          <t>/integrations/claude-code</t>
        </is>
      </c>
      <c r="P141" s="12" t="inlineStr">
        <is>
          <t>Integration</t>
        </is>
      </c>
      <c r="Q141" s="14" t="n"/>
      <c r="R141" s="14" t="n"/>
      <c r="S141" s="14" t="n"/>
      <c r="T141" s="12" t="inlineStr">
        <is>
          <t>Not started</t>
        </is>
      </c>
      <c r="U141" s="12" t="inlineStr"/>
    </row>
    <row r="142">
      <c r="A142" s="11" t="n">
        <v>141</v>
      </c>
      <c r="B142" s="12" t="inlineStr">
        <is>
          <t>claude code team tracking</t>
        </is>
      </c>
      <c r="C142" s="11" t="inlineStr">
        <is>
          <t>SEO</t>
        </is>
      </c>
      <c r="D142" s="12" t="inlineStr">
        <is>
          <t>Google Autocomplete</t>
        </is>
      </c>
      <c r="E142" s="12" t="inlineStr">
        <is>
          <t>Tool: Claude Code</t>
        </is>
      </c>
      <c r="F142" s="13" t="n"/>
      <c r="G142" s="13" t="n"/>
      <c r="H142" s="14" t="n"/>
      <c r="I142" s="12" t="inlineStr">
        <is>
          <t>Commercial</t>
        </is>
      </c>
      <c r="J142" s="15" t="n">
        <v>3</v>
      </c>
      <c r="K142" s="16">
        <f>IF(I142="","",IF(I142="Transactional",3,IF(I142="Commercial",2,1)))</f>
        <v/>
      </c>
      <c r="L142" s="16">
        <f>IF(G142="","",IF(G142&lt;=20,3,IF(G142&lt;=50,2,1)))</f>
        <v/>
      </c>
      <c r="M142" s="16">
        <f>IF(OR(J142="",K142="",L142=""),"",J142+K142+L142)</f>
        <v/>
      </c>
      <c r="N142" s="11" t="inlineStr">
        <is>
          <t>Secondary</t>
        </is>
      </c>
      <c r="O142" s="12" t="inlineStr">
        <is>
          <t>/integrations/claude-code</t>
        </is>
      </c>
      <c r="P142" s="12" t="inlineStr">
        <is>
          <t>Integration</t>
        </is>
      </c>
      <c r="Q142" s="14" t="n"/>
      <c r="R142" s="14" t="n"/>
      <c r="S142" s="14" t="n"/>
      <c r="T142" s="12" t="inlineStr">
        <is>
          <t>Not started</t>
        </is>
      </c>
      <c r="U142" s="12" t="inlineStr"/>
    </row>
    <row r="143">
      <c r="A143" s="11" t="n">
        <v>142</v>
      </c>
      <c r="B143" s="12" t="inlineStr">
        <is>
          <t>claude code usage dashboard</t>
        </is>
      </c>
      <c r="C143" s="11" t="inlineStr">
        <is>
          <t>SEO</t>
        </is>
      </c>
      <c r="D143" s="12" t="inlineStr">
        <is>
          <t>Google Autocomplete</t>
        </is>
      </c>
      <c r="E143" s="12" t="inlineStr">
        <is>
          <t>Tool: Claude Code</t>
        </is>
      </c>
      <c r="F143" s="13" t="n"/>
      <c r="G143" s="13" t="n"/>
      <c r="H143" s="14" t="n"/>
      <c r="I143" s="12" t="inlineStr">
        <is>
          <t>Commercial</t>
        </is>
      </c>
      <c r="J143" s="15" t="n">
        <v>3</v>
      </c>
      <c r="K143" s="16">
        <f>IF(I143="","",IF(I143="Transactional",3,IF(I143="Commercial",2,1)))</f>
        <v/>
      </c>
      <c r="L143" s="16">
        <f>IF(G143="","",IF(G143&lt;=20,3,IF(G143&lt;=50,2,1)))</f>
        <v/>
      </c>
      <c r="M143" s="16">
        <f>IF(OR(J143="",K143="",L143=""),"",J143+K143+L143)</f>
        <v/>
      </c>
      <c r="N143" s="11" t="inlineStr">
        <is>
          <t>Secondary</t>
        </is>
      </c>
      <c r="O143" s="12" t="inlineStr">
        <is>
          <t>/integrations/claude-code</t>
        </is>
      </c>
      <c r="P143" s="12" t="inlineStr">
        <is>
          <t>Integration</t>
        </is>
      </c>
      <c r="Q143" s="14" t="n"/>
      <c r="R143" s="14" t="n"/>
      <c r="S143" s="14" t="n"/>
      <c r="T143" s="12" t="inlineStr">
        <is>
          <t>Not started</t>
        </is>
      </c>
      <c r="U143" s="12" t="inlineStr"/>
    </row>
    <row r="144">
      <c r="A144" s="11" t="n">
        <v>143</v>
      </c>
      <c r="B144" s="12" t="inlineStr">
        <is>
          <t>claude code usage monitor</t>
        </is>
      </c>
      <c r="C144" s="11" t="inlineStr">
        <is>
          <t>SEO</t>
        </is>
      </c>
      <c r="D144" s="12" t="inlineStr">
        <is>
          <t>Google Autocomplete</t>
        </is>
      </c>
      <c r="E144" s="12" t="inlineStr">
        <is>
          <t>Tool: Claude Code</t>
        </is>
      </c>
      <c r="F144" s="13" t="n"/>
      <c r="G144" s="13" t="n"/>
      <c r="H144" s="14" t="n"/>
      <c r="I144" s="12" t="inlineStr">
        <is>
          <t>Commercial</t>
        </is>
      </c>
      <c r="J144" s="15" t="n">
        <v>3</v>
      </c>
      <c r="K144" s="16">
        <f>IF(I144="","",IF(I144="Transactional",3,IF(I144="Commercial",2,1)))</f>
        <v/>
      </c>
      <c r="L144" s="16">
        <f>IF(G144="","",IF(G144&lt;=20,3,IF(G144&lt;=50,2,1)))</f>
        <v/>
      </c>
      <c r="M144" s="16">
        <f>IF(OR(J144="",K144="",L144=""),"",J144+K144+L144)</f>
        <v/>
      </c>
      <c r="N144" s="11" t="inlineStr">
        <is>
          <t>Secondary</t>
        </is>
      </c>
      <c r="O144" s="12" t="inlineStr">
        <is>
          <t>/integrations/claude-code</t>
        </is>
      </c>
      <c r="P144" s="12" t="inlineStr">
        <is>
          <t>Integration</t>
        </is>
      </c>
      <c r="Q144" s="14" t="n"/>
      <c r="R144" s="14" t="n"/>
      <c r="S144" s="14" t="n"/>
      <c r="T144" s="12" t="inlineStr">
        <is>
          <t>Not started</t>
        </is>
      </c>
      <c r="U144" s="12" t="inlineStr"/>
    </row>
    <row r="145">
      <c r="A145" s="11" t="n">
        <v>144</v>
      </c>
      <c r="B145" s="12" t="inlineStr">
        <is>
          <t>claude code usage tracker</t>
        </is>
      </c>
      <c r="C145" s="11" t="inlineStr">
        <is>
          <t>SEO</t>
        </is>
      </c>
      <c r="D145" s="12" t="inlineStr">
        <is>
          <t>Google Autocomplete</t>
        </is>
      </c>
      <c r="E145" s="12" t="inlineStr">
        <is>
          <t>Tool: Claude Code</t>
        </is>
      </c>
      <c r="F145" s="13" t="n"/>
      <c r="G145" s="13" t="n"/>
      <c r="H145" s="14" t="n"/>
      <c r="I145" s="12" t="inlineStr">
        <is>
          <t>Commercial</t>
        </is>
      </c>
      <c r="J145" s="15" t="n">
        <v>3</v>
      </c>
      <c r="K145" s="16">
        <f>IF(I145="","",IF(I145="Transactional",3,IF(I145="Commercial",2,1)))</f>
        <v/>
      </c>
      <c r="L145" s="16">
        <f>IF(G145="","",IF(G145&lt;=20,3,IF(G145&lt;=50,2,1)))</f>
        <v/>
      </c>
      <c r="M145" s="16">
        <f>IF(OR(J145="",K145="",L145=""),"",J145+K145+L145)</f>
        <v/>
      </c>
      <c r="N145" s="11" t="inlineStr">
        <is>
          <t>Secondary</t>
        </is>
      </c>
      <c r="O145" s="12" t="inlineStr">
        <is>
          <t>/integrations/claude-code</t>
        </is>
      </c>
      <c r="P145" s="12" t="inlineStr">
        <is>
          <t>Integration</t>
        </is>
      </c>
      <c r="Q145" s="14" t="n"/>
      <c r="R145" s="14" t="n"/>
      <c r="S145" s="14" t="n"/>
      <c r="T145" s="12" t="inlineStr">
        <is>
          <t>Not started</t>
        </is>
      </c>
      <c r="U145" s="12" t="inlineStr"/>
    </row>
    <row r="146">
      <c r="A146" s="11" t="n">
        <v>145</v>
      </c>
      <c r="B146" s="12" t="inlineStr">
        <is>
          <t>claude code usage analytics</t>
        </is>
      </c>
      <c r="C146" s="11" t="inlineStr">
        <is>
          <t>SEO</t>
        </is>
      </c>
      <c r="D146" s="12" t="inlineStr">
        <is>
          <t>Google Autocomplete</t>
        </is>
      </c>
      <c r="E146" s="12" t="inlineStr">
        <is>
          <t>Tool: Claude Code</t>
        </is>
      </c>
      <c r="F146" s="13" t="n"/>
      <c r="G146" s="13" t="n"/>
      <c r="H146" s="14" t="n"/>
      <c r="I146" s="12" t="inlineStr">
        <is>
          <t>Commercial</t>
        </is>
      </c>
      <c r="J146" s="15" t="n">
        <v>3</v>
      </c>
      <c r="K146" s="16">
        <f>IF(I146="","",IF(I146="Transactional",3,IF(I146="Commercial",2,1)))</f>
        <v/>
      </c>
      <c r="L146" s="16">
        <f>IF(G146="","",IF(G146&lt;=20,3,IF(G146&lt;=50,2,1)))</f>
        <v/>
      </c>
      <c r="M146" s="16">
        <f>IF(OR(J146="",K146="",L146=""),"",J146+K146+L146)</f>
        <v/>
      </c>
      <c r="N146" s="11" t="inlineStr">
        <is>
          <t>Secondary</t>
        </is>
      </c>
      <c r="O146" s="12" t="inlineStr">
        <is>
          <t>/integrations/claude-code</t>
        </is>
      </c>
      <c r="P146" s="12" t="inlineStr">
        <is>
          <t>Integration</t>
        </is>
      </c>
      <c r="Q146" s="14" t="n"/>
      <c r="R146" s="14" t="n"/>
      <c r="S146" s="14" t="n"/>
      <c r="T146" s="12" t="inlineStr">
        <is>
          <t>Not started</t>
        </is>
      </c>
      <c r="U146" s="12" t="inlineStr"/>
    </row>
    <row r="147">
      <c r="A147" s="11" t="n">
        <v>146</v>
      </c>
      <c r="B147" s="12" t="inlineStr">
        <is>
          <t>claude code usage metrics</t>
        </is>
      </c>
      <c r="C147" s="11" t="inlineStr">
        <is>
          <t>SEO</t>
        </is>
      </c>
      <c r="D147" s="12" t="inlineStr">
        <is>
          <t>Google Autocomplete</t>
        </is>
      </c>
      <c r="E147" s="12" t="inlineStr">
        <is>
          <t>Tool: Claude Code</t>
        </is>
      </c>
      <c r="F147" s="13" t="n"/>
      <c r="G147" s="13" t="n"/>
      <c r="H147" s="14" t="n"/>
      <c r="I147" s="12" t="inlineStr">
        <is>
          <t>Commercial</t>
        </is>
      </c>
      <c r="J147" s="15" t="n">
        <v>3</v>
      </c>
      <c r="K147" s="16">
        <f>IF(I147="","",IF(I147="Transactional",3,IF(I147="Commercial",2,1)))</f>
        <v/>
      </c>
      <c r="L147" s="16">
        <f>IF(G147="","",IF(G147&lt;=20,3,IF(G147&lt;=50,2,1)))</f>
        <v/>
      </c>
      <c r="M147" s="16">
        <f>IF(OR(J147="",K147="",L147=""),"",J147+K147+L147)</f>
        <v/>
      </c>
      <c r="N147" s="11" t="inlineStr">
        <is>
          <t>Secondary</t>
        </is>
      </c>
      <c r="O147" s="12" t="inlineStr">
        <is>
          <t>/integrations/claude-code</t>
        </is>
      </c>
      <c r="P147" s="12" t="inlineStr">
        <is>
          <t>Integration</t>
        </is>
      </c>
      <c r="Q147" s="14" t="n"/>
      <c r="R147" s="14" t="n"/>
      <c r="S147" s="14" t="n"/>
      <c r="T147" s="12" t="inlineStr">
        <is>
          <t>Not started</t>
        </is>
      </c>
      <c r="U147" s="12" t="inlineStr"/>
    </row>
    <row r="148">
      <c r="A148" s="11" t="n">
        <v>147</v>
      </c>
      <c r="B148" s="12" t="inlineStr">
        <is>
          <t>claude code usage report</t>
        </is>
      </c>
      <c r="C148" s="11" t="inlineStr">
        <is>
          <t>SEO</t>
        </is>
      </c>
      <c r="D148" s="12" t="inlineStr">
        <is>
          <t>Google Autocomplete</t>
        </is>
      </c>
      <c r="E148" s="12" t="inlineStr">
        <is>
          <t>Tool: Claude Code</t>
        </is>
      </c>
      <c r="F148" s="13" t="n"/>
      <c r="G148" s="13" t="n"/>
      <c r="H148" s="14" t="n"/>
      <c r="I148" s="12" t="inlineStr">
        <is>
          <t>Commercial</t>
        </is>
      </c>
      <c r="J148" s="15" t="n">
        <v>3</v>
      </c>
      <c r="K148" s="16">
        <f>IF(I148="","",IF(I148="Transactional",3,IF(I148="Commercial",2,1)))</f>
        <v/>
      </c>
      <c r="L148" s="16">
        <f>IF(G148="","",IF(G148&lt;=20,3,IF(G148&lt;=50,2,1)))</f>
        <v/>
      </c>
      <c r="M148" s="16">
        <f>IF(OR(J148="",K148="",L148=""),"",J148+K148+L148)</f>
        <v/>
      </c>
      <c r="N148" s="11" t="inlineStr">
        <is>
          <t>Secondary</t>
        </is>
      </c>
      <c r="O148" s="12" t="inlineStr">
        <is>
          <t>/integrations/claude-code</t>
        </is>
      </c>
      <c r="P148" s="12" t="inlineStr">
        <is>
          <t>Integration</t>
        </is>
      </c>
      <c r="Q148" s="14" t="n"/>
      <c r="R148" s="14" t="n"/>
      <c r="S148" s="14" t="n"/>
      <c r="T148" s="12" t="inlineStr">
        <is>
          <t>Not started</t>
        </is>
      </c>
      <c r="U148" s="12" t="inlineStr"/>
    </row>
    <row r="149">
      <c r="A149" s="11" t="n">
        <v>148</v>
      </c>
      <c r="B149" s="12" t="inlineStr">
        <is>
          <t>claude code usage statistics</t>
        </is>
      </c>
      <c r="C149" s="11" t="inlineStr">
        <is>
          <t>SEO</t>
        </is>
      </c>
      <c r="D149" s="12" t="inlineStr">
        <is>
          <t>Google Autocomplete</t>
        </is>
      </c>
      <c r="E149" s="12" t="inlineStr">
        <is>
          <t>Tool: Claude Code</t>
        </is>
      </c>
      <c r="F149" s="13" t="n"/>
      <c r="G149" s="13" t="n"/>
      <c r="H149" s="14" t="n"/>
      <c r="I149" s="12" t="inlineStr">
        <is>
          <t>Commercial</t>
        </is>
      </c>
      <c r="J149" s="15" t="n">
        <v>3</v>
      </c>
      <c r="K149" s="16">
        <f>IF(I149="","",IF(I149="Transactional",3,IF(I149="Commercial",2,1)))</f>
        <v/>
      </c>
      <c r="L149" s="16">
        <f>IF(G149="","",IF(G149&lt;=20,3,IF(G149&lt;=50,2,1)))</f>
        <v/>
      </c>
      <c r="M149" s="16">
        <f>IF(OR(J149="",K149="",L149=""),"",J149+K149+L149)</f>
        <v/>
      </c>
      <c r="N149" s="11" t="inlineStr">
        <is>
          <t>Secondary</t>
        </is>
      </c>
      <c r="O149" s="12" t="inlineStr">
        <is>
          <t>/integrations/claude-code</t>
        </is>
      </c>
      <c r="P149" s="12" t="inlineStr">
        <is>
          <t>Integration</t>
        </is>
      </c>
      <c r="Q149" s="14" t="n"/>
      <c r="R149" s="14" t="n"/>
      <c r="S149" s="14" t="n"/>
      <c r="T149" s="12" t="inlineStr">
        <is>
          <t>Not started</t>
        </is>
      </c>
      <c r="U149" s="12" t="inlineStr"/>
    </row>
    <row r="150">
      <c r="A150" s="11" t="n">
        <v>149</v>
      </c>
      <c r="B150" s="12" t="inlineStr">
        <is>
          <t>claude code analytics dashboard</t>
        </is>
      </c>
      <c r="C150" s="11" t="inlineStr">
        <is>
          <t>SEO</t>
        </is>
      </c>
      <c r="D150" s="12" t="inlineStr">
        <is>
          <t>Google Autocomplete</t>
        </is>
      </c>
      <c r="E150" s="12" t="inlineStr">
        <is>
          <t>Tool: Claude Code</t>
        </is>
      </c>
      <c r="F150" s="13" t="n"/>
      <c r="G150" s="13" t="n"/>
      <c r="H150" s="14" t="n"/>
      <c r="I150" s="12" t="inlineStr">
        <is>
          <t>Commercial</t>
        </is>
      </c>
      <c r="J150" s="15" t="n">
        <v>3</v>
      </c>
      <c r="K150" s="16">
        <f>IF(I150="","",IF(I150="Transactional",3,IF(I150="Commercial",2,1)))</f>
        <v/>
      </c>
      <c r="L150" s="16">
        <f>IF(G150="","",IF(G150&lt;=20,3,IF(G150&lt;=50,2,1)))</f>
        <v/>
      </c>
      <c r="M150" s="16">
        <f>IF(OR(J150="",K150="",L150=""),"",J150+K150+L150)</f>
        <v/>
      </c>
      <c r="N150" s="11" t="inlineStr">
        <is>
          <t>Secondary</t>
        </is>
      </c>
      <c r="O150" s="12" t="inlineStr">
        <is>
          <t>/integrations/claude-code</t>
        </is>
      </c>
      <c r="P150" s="12" t="inlineStr">
        <is>
          <t>Integration</t>
        </is>
      </c>
      <c r="Q150" s="14" t="n"/>
      <c r="R150" s="14" t="n"/>
      <c r="S150" s="14" t="n"/>
      <c r="T150" s="12" t="inlineStr">
        <is>
          <t>Not started</t>
        </is>
      </c>
      <c r="U150" s="12" t="inlineStr"/>
    </row>
    <row r="151">
      <c r="A151" s="11" t="n">
        <v>150</v>
      </c>
      <c r="B151" s="12" t="inlineStr">
        <is>
          <t>claude code analytics tool</t>
        </is>
      </c>
      <c r="C151" s="11" t="inlineStr">
        <is>
          <t>SEO</t>
        </is>
      </c>
      <c r="D151" s="12" t="inlineStr">
        <is>
          <t>Google Autocomplete</t>
        </is>
      </c>
      <c r="E151" s="12" t="inlineStr">
        <is>
          <t>Tool: Claude Code</t>
        </is>
      </c>
      <c r="F151" s="13" t="n"/>
      <c r="G151" s="13" t="n"/>
      <c r="H151" s="14" t="n"/>
      <c r="I151" s="12" t="inlineStr">
        <is>
          <t>Commercial</t>
        </is>
      </c>
      <c r="J151" s="15" t="n">
        <v>3</v>
      </c>
      <c r="K151" s="16">
        <f>IF(I151="","",IF(I151="Transactional",3,IF(I151="Commercial",2,1)))</f>
        <v/>
      </c>
      <c r="L151" s="16">
        <f>IF(G151="","",IF(G151&lt;=20,3,IF(G151&lt;=50,2,1)))</f>
        <v/>
      </c>
      <c r="M151" s="16">
        <f>IF(OR(J151="",K151="",L151=""),"",J151+K151+L151)</f>
        <v/>
      </c>
      <c r="N151" s="11" t="inlineStr">
        <is>
          <t>Secondary</t>
        </is>
      </c>
      <c r="O151" s="12" t="inlineStr">
        <is>
          <t>/integrations/claude-code</t>
        </is>
      </c>
      <c r="P151" s="12" t="inlineStr">
        <is>
          <t>Integration</t>
        </is>
      </c>
      <c r="Q151" s="14" t="n"/>
      <c r="R151" s="14" t="n"/>
      <c r="S151" s="14" t="n"/>
      <c r="T151" s="12" t="inlineStr">
        <is>
          <t>Not started</t>
        </is>
      </c>
      <c r="U151" s="12" t="inlineStr"/>
    </row>
    <row r="152">
      <c r="A152" s="11" t="n">
        <v>151</v>
      </c>
      <c r="B152" s="12" t="inlineStr">
        <is>
          <t>claude code enterprise analytics</t>
        </is>
      </c>
      <c r="C152" s="11" t="inlineStr">
        <is>
          <t>SEO</t>
        </is>
      </c>
      <c r="D152" s="12" t="inlineStr">
        <is>
          <t>Google Autocomplete</t>
        </is>
      </c>
      <c r="E152" s="12" t="inlineStr">
        <is>
          <t>Tool: Claude Code</t>
        </is>
      </c>
      <c r="F152" s="13" t="n"/>
      <c r="G152" s="13" t="n"/>
      <c r="H152" s="14" t="n"/>
      <c r="I152" s="12" t="inlineStr">
        <is>
          <t>Commercial</t>
        </is>
      </c>
      <c r="J152" s="15" t="n">
        <v>3</v>
      </c>
      <c r="K152" s="16">
        <f>IF(I152="","",IF(I152="Transactional",3,IF(I152="Commercial",2,1)))</f>
        <v/>
      </c>
      <c r="L152" s="16">
        <f>IF(G152="","",IF(G152&lt;=20,3,IF(G152&lt;=50,2,1)))</f>
        <v/>
      </c>
      <c r="M152" s="16">
        <f>IF(OR(J152="",K152="",L152=""),"",J152+K152+L152)</f>
        <v/>
      </c>
      <c r="N152" s="11" t="inlineStr">
        <is>
          <t>Secondary</t>
        </is>
      </c>
      <c r="O152" s="12" t="inlineStr">
        <is>
          <t>/integrations/claude-code</t>
        </is>
      </c>
      <c r="P152" s="12" t="inlineStr">
        <is>
          <t>Integration</t>
        </is>
      </c>
      <c r="Q152" s="14" t="n"/>
      <c r="R152" s="14" t="n"/>
      <c r="S152" s="14" t="n"/>
      <c r="T152" s="12" t="inlineStr">
        <is>
          <t>Not started</t>
        </is>
      </c>
      <c r="U152" s="12" t="inlineStr"/>
    </row>
    <row r="153">
      <c r="A153" s="11" t="n">
        <v>152</v>
      </c>
      <c r="B153" s="12" t="inlineStr">
        <is>
          <t>claude code enterprise analytics dashboard</t>
        </is>
      </c>
      <c r="C153" s="11" t="inlineStr">
        <is>
          <t>SEO</t>
        </is>
      </c>
      <c r="D153" s="12" t="inlineStr">
        <is>
          <t>Google Autocomplete</t>
        </is>
      </c>
      <c r="E153" s="12" t="inlineStr">
        <is>
          <t>Tool: Claude Code</t>
        </is>
      </c>
      <c r="F153" s="13" t="n"/>
      <c r="G153" s="13" t="n"/>
      <c r="H153" s="14" t="n"/>
      <c r="I153" s="12" t="inlineStr">
        <is>
          <t>Commercial</t>
        </is>
      </c>
      <c r="J153" s="15" t="n">
        <v>3</v>
      </c>
      <c r="K153" s="16">
        <f>IF(I153="","",IF(I153="Transactional",3,IF(I153="Commercial",2,1)))</f>
        <v/>
      </c>
      <c r="L153" s="16">
        <f>IF(G153="","",IF(G153&lt;=20,3,IF(G153&lt;=50,2,1)))</f>
        <v/>
      </c>
      <c r="M153" s="16">
        <f>IF(OR(J153="",K153="",L153=""),"",J153+K153+L153)</f>
        <v/>
      </c>
      <c r="N153" s="11" t="inlineStr">
        <is>
          <t>Secondary</t>
        </is>
      </c>
      <c r="O153" s="12" t="inlineStr">
        <is>
          <t>/integrations/claude-code</t>
        </is>
      </c>
      <c r="P153" s="12" t="inlineStr">
        <is>
          <t>Integration</t>
        </is>
      </c>
      <c r="Q153" s="14" t="n"/>
      <c r="R153" s="14" t="n"/>
      <c r="S153" s="14" t="n"/>
      <c r="T153" s="12" t="inlineStr">
        <is>
          <t>Not started</t>
        </is>
      </c>
      <c r="U153" s="12" t="inlineStr"/>
    </row>
    <row r="154">
      <c r="A154" s="11" t="n">
        <v>153</v>
      </c>
      <c r="B154" s="12" t="inlineStr">
        <is>
          <t>claude code usage organizational view</t>
        </is>
      </c>
      <c r="C154" s="11" t="inlineStr">
        <is>
          <t>SEO</t>
        </is>
      </c>
      <c r="D154" s="12" t="inlineStr">
        <is>
          <t>Google Autocomplete</t>
        </is>
      </c>
      <c r="E154" s="12" t="inlineStr">
        <is>
          <t>Tool: Claude Code</t>
        </is>
      </c>
      <c r="F154" s="13" t="n"/>
      <c r="G154" s="13" t="n"/>
      <c r="H154" s="14" t="n"/>
      <c r="I154" s="12" t="inlineStr">
        <is>
          <t>Commercial</t>
        </is>
      </c>
      <c r="J154" s="15" t="n">
        <v>3</v>
      </c>
      <c r="K154" s="16">
        <f>IF(I154="","",IF(I154="Transactional",3,IF(I154="Commercial",2,1)))</f>
        <v/>
      </c>
      <c r="L154" s="16">
        <f>IF(G154="","",IF(G154&lt;=20,3,IF(G154&lt;=50,2,1)))</f>
        <v/>
      </c>
      <c r="M154" s="16">
        <f>IF(OR(J154="",K154="",L154=""),"",J154+K154+L154)</f>
        <v/>
      </c>
      <c r="N154" s="11" t="inlineStr">
        <is>
          <t>Secondary</t>
        </is>
      </c>
      <c r="O154" s="12" t="inlineStr">
        <is>
          <t>/integrations/claude-code</t>
        </is>
      </c>
      <c r="P154" s="12" t="inlineStr">
        <is>
          <t>Integration</t>
        </is>
      </c>
      <c r="Q154" s="14" t="n"/>
      <c r="R154" s="14" t="n"/>
      <c r="S154" s="14" t="n"/>
      <c r="T154" s="12" t="inlineStr">
        <is>
          <t>Not started</t>
        </is>
      </c>
      <c r="U154" s="12" t="inlineStr"/>
    </row>
    <row r="155">
      <c r="A155" s="11" t="n">
        <v>154</v>
      </c>
      <c r="B155" s="12" t="inlineStr">
        <is>
          <t>claude code session analytics</t>
        </is>
      </c>
      <c r="C155" s="11" t="inlineStr">
        <is>
          <t>SEO</t>
        </is>
      </c>
      <c r="D155" s="12" t="inlineStr">
        <is>
          <t>Google Autocomplete</t>
        </is>
      </c>
      <c r="E155" s="12" t="inlineStr">
        <is>
          <t>Tool: Claude Code</t>
        </is>
      </c>
      <c r="F155" s="13" t="n"/>
      <c r="G155" s="13" t="n"/>
      <c r="H155" s="14" t="n"/>
      <c r="I155" s="12" t="inlineStr">
        <is>
          <t>Commercial</t>
        </is>
      </c>
      <c r="J155" s="15" t="n">
        <v>3</v>
      </c>
      <c r="K155" s="16">
        <f>IF(I155="","",IF(I155="Transactional",3,IF(I155="Commercial",2,1)))</f>
        <v/>
      </c>
      <c r="L155" s="16">
        <f>IF(G155="","",IF(G155&lt;=20,3,IF(G155&lt;=50,2,1)))</f>
        <v/>
      </c>
      <c r="M155" s="16">
        <f>IF(OR(J155="",K155="",L155=""),"",J155+K155+L155)</f>
        <v/>
      </c>
      <c r="N155" s="11" t="inlineStr">
        <is>
          <t>Secondary</t>
        </is>
      </c>
      <c r="O155" s="12" t="inlineStr">
        <is>
          <t>/integrations/claude-code</t>
        </is>
      </c>
      <c r="P155" s="12" t="inlineStr">
        <is>
          <t>Integration</t>
        </is>
      </c>
      <c r="Q155" s="14" t="n"/>
      <c r="R155" s="14" t="n"/>
      <c r="S155" s="14" t="n"/>
      <c r="T155" s="12" t="inlineStr">
        <is>
          <t>Not started</t>
        </is>
      </c>
      <c r="U155" s="12" t="inlineStr"/>
    </row>
    <row r="156">
      <c r="A156" s="11" t="n">
        <v>155</v>
      </c>
      <c r="B156" s="12" t="inlineStr">
        <is>
          <t>claude code token analytics</t>
        </is>
      </c>
      <c r="C156" s="11" t="inlineStr">
        <is>
          <t>SEO</t>
        </is>
      </c>
      <c r="D156" s="12" t="inlineStr">
        <is>
          <t>Google Autocomplete</t>
        </is>
      </c>
      <c r="E156" s="12" t="inlineStr">
        <is>
          <t>Tool: Claude Code</t>
        </is>
      </c>
      <c r="F156" s="13" t="n"/>
      <c r="G156" s="13" t="n"/>
      <c r="H156" s="14" t="n"/>
      <c r="I156" s="12" t="inlineStr">
        <is>
          <t>Commercial</t>
        </is>
      </c>
      <c r="J156" s="15" t="n">
        <v>3</v>
      </c>
      <c r="K156" s="16">
        <f>IF(I156="","",IF(I156="Transactional",3,IF(I156="Commercial",2,1)))</f>
        <v/>
      </c>
      <c r="L156" s="16">
        <f>IF(G156="","",IF(G156&lt;=20,3,IF(G156&lt;=50,2,1)))</f>
        <v/>
      </c>
      <c r="M156" s="16">
        <f>IF(OR(J156="",K156="",L156=""),"",J156+K156+L156)</f>
        <v/>
      </c>
      <c r="N156" s="11" t="inlineStr">
        <is>
          <t>Secondary</t>
        </is>
      </c>
      <c r="O156" s="12" t="inlineStr">
        <is>
          <t>/integrations/claude-code</t>
        </is>
      </c>
      <c r="P156" s="12" t="inlineStr">
        <is>
          <t>Integration</t>
        </is>
      </c>
      <c r="Q156" s="14" t="n"/>
      <c r="R156" s="14" t="n"/>
      <c r="S156" s="14" t="n"/>
      <c r="T156" s="12" t="inlineStr">
        <is>
          <t>Not started</t>
        </is>
      </c>
      <c r="U156" s="12" t="inlineStr"/>
    </row>
    <row r="157">
      <c r="A157" s="11" t="n">
        <v>156</v>
      </c>
      <c r="B157" s="12" t="inlineStr">
        <is>
          <t>claude code team plan usage</t>
        </is>
      </c>
      <c r="C157" s="11" t="inlineStr">
        <is>
          <t>SEO</t>
        </is>
      </c>
      <c r="D157" s="12" t="inlineStr">
        <is>
          <t>Google Autocomplete</t>
        </is>
      </c>
      <c r="E157" s="12" t="inlineStr">
        <is>
          <t>Tool: Claude Code</t>
        </is>
      </c>
      <c r="F157" s="13" t="n"/>
      <c r="G157" s="13" t="n"/>
      <c r="H157" s="14" t="n"/>
      <c r="I157" s="12" t="inlineStr">
        <is>
          <t>Commercial</t>
        </is>
      </c>
      <c r="J157" s="15" t="n">
        <v>3</v>
      </c>
      <c r="K157" s="16">
        <f>IF(I157="","",IF(I157="Transactional",3,IF(I157="Commercial",2,1)))</f>
        <v/>
      </c>
      <c r="L157" s="16">
        <f>IF(G157="","",IF(G157&lt;=20,3,IF(G157&lt;=50,2,1)))</f>
        <v/>
      </c>
      <c r="M157" s="16">
        <f>IF(OR(J157="",K157="",L157=""),"",J157+K157+L157)</f>
        <v/>
      </c>
      <c r="N157" s="11" t="inlineStr">
        <is>
          <t>Secondary</t>
        </is>
      </c>
      <c r="O157" s="12" t="inlineStr">
        <is>
          <t>/integrations/claude-code</t>
        </is>
      </c>
      <c r="P157" s="12" t="inlineStr">
        <is>
          <t>Integration</t>
        </is>
      </c>
      <c r="Q157" s="14" t="n"/>
      <c r="R157" s="14" t="n"/>
      <c r="S157" s="14" t="n"/>
      <c r="T157" s="12" t="inlineStr">
        <is>
          <t>Not started</t>
        </is>
      </c>
      <c r="U157" s="12" t="inlineStr"/>
    </row>
    <row r="158">
      <c r="A158" s="11" t="n">
        <v>157</v>
      </c>
      <c r="B158" s="12" t="inlineStr">
        <is>
          <t>best claude code usage monitor</t>
        </is>
      </c>
      <c r="C158" s="11" t="inlineStr">
        <is>
          <t>SEO</t>
        </is>
      </c>
      <c r="D158" s="12" t="inlineStr">
        <is>
          <t>Google Autocomplete</t>
        </is>
      </c>
      <c r="E158" s="12" t="inlineStr">
        <is>
          <t>Tool: Claude Code</t>
        </is>
      </c>
      <c r="F158" s="13" t="n"/>
      <c r="G158" s="13" t="n"/>
      <c r="H158" s="14" t="n"/>
      <c r="I158" s="12" t="inlineStr">
        <is>
          <t>Commercial</t>
        </is>
      </c>
      <c r="J158" s="15" t="n">
        <v>3</v>
      </c>
      <c r="K158" s="16">
        <f>IF(I158="","",IF(I158="Transactional",3,IF(I158="Commercial",2,1)))</f>
        <v/>
      </c>
      <c r="L158" s="16">
        <f>IF(G158="","",IF(G158&lt;=20,3,IF(G158&lt;=50,2,1)))</f>
        <v/>
      </c>
      <c r="M158" s="16">
        <f>IF(OR(J158="",K158="",L158=""),"",J158+K158+L158)</f>
        <v/>
      </c>
      <c r="N158" s="11" t="inlineStr">
        <is>
          <t>Secondary</t>
        </is>
      </c>
      <c r="O158" s="12" t="inlineStr">
        <is>
          <t>/integrations/claude-code</t>
        </is>
      </c>
      <c r="P158" s="12" t="inlineStr">
        <is>
          <t>Integration</t>
        </is>
      </c>
      <c r="Q158" s="14" t="n"/>
      <c r="R158" s="14" t="n"/>
      <c r="S158" s="14" t="n"/>
      <c r="T158" s="12" t="inlineStr">
        <is>
          <t>Not started</t>
        </is>
      </c>
      <c r="U158" s="12" t="inlineStr"/>
    </row>
    <row r="159">
      <c r="A159" s="11" t="n">
        <v>158</v>
      </c>
      <c r="B159" s="12" t="inlineStr">
        <is>
          <t>best claude code usage tracker</t>
        </is>
      </c>
      <c r="C159" s="11" t="inlineStr">
        <is>
          <t>SEO</t>
        </is>
      </c>
      <c r="D159" s="12" t="inlineStr">
        <is>
          <t>Google Autocomplete</t>
        </is>
      </c>
      <c r="E159" s="12" t="inlineStr">
        <is>
          <t>Tool: Claude Code</t>
        </is>
      </c>
      <c r="F159" s="13" t="n"/>
      <c r="G159" s="13" t="n"/>
      <c r="H159" s="14" t="n"/>
      <c r="I159" s="12" t="inlineStr">
        <is>
          <t>Commercial</t>
        </is>
      </c>
      <c r="J159" s="15" t="n">
        <v>3</v>
      </c>
      <c r="K159" s="16">
        <f>IF(I159="","",IF(I159="Transactional",3,IF(I159="Commercial",2,1)))</f>
        <v/>
      </c>
      <c r="L159" s="16">
        <f>IF(G159="","",IF(G159&lt;=20,3,IF(G159&lt;=50,2,1)))</f>
        <v/>
      </c>
      <c r="M159" s="16">
        <f>IF(OR(J159="",K159="",L159=""),"",J159+K159+L159)</f>
        <v/>
      </c>
      <c r="N159" s="11" t="inlineStr">
        <is>
          <t>Secondary</t>
        </is>
      </c>
      <c r="O159" s="12" t="inlineStr">
        <is>
          <t>/integrations/claude-code</t>
        </is>
      </c>
      <c r="P159" s="12" t="inlineStr">
        <is>
          <t>Integration</t>
        </is>
      </c>
      <c r="Q159" s="14" t="n"/>
      <c r="R159" s="14" t="n"/>
      <c r="S159" s="14" t="n"/>
      <c r="T159" s="12" t="inlineStr">
        <is>
          <t>Not started</t>
        </is>
      </c>
      <c r="U159" s="12" t="inlineStr"/>
    </row>
    <row r="160">
      <c r="A160" s="11" t="n">
        <v>159</v>
      </c>
      <c r="B160" s="12" t="inlineStr">
        <is>
          <t>best way to monitor claude code usage</t>
        </is>
      </c>
      <c r="C160" s="11" t="inlineStr">
        <is>
          <t>SEO</t>
        </is>
      </c>
      <c r="D160" s="12" t="inlineStr">
        <is>
          <t>Google Autocomplete</t>
        </is>
      </c>
      <c r="E160" s="12" t="inlineStr">
        <is>
          <t>Tool: Claude Code</t>
        </is>
      </c>
      <c r="F160" s="13" t="n"/>
      <c r="G160" s="13" t="n"/>
      <c r="H160" s="14" t="n"/>
      <c r="I160" s="12" t="inlineStr">
        <is>
          <t>Commercial</t>
        </is>
      </c>
      <c r="J160" s="15" t="n">
        <v>3</v>
      </c>
      <c r="K160" s="16">
        <f>IF(I160="","",IF(I160="Transactional",3,IF(I160="Commercial",2,1)))</f>
        <v/>
      </c>
      <c r="L160" s="16">
        <f>IF(G160="","",IF(G160&lt;=20,3,IF(G160&lt;=50,2,1)))</f>
        <v/>
      </c>
      <c r="M160" s="16">
        <f>IF(OR(J160="",K160="",L160=""),"",J160+K160+L160)</f>
        <v/>
      </c>
      <c r="N160" s="11" t="inlineStr">
        <is>
          <t>Secondary</t>
        </is>
      </c>
      <c r="O160" s="12" t="inlineStr">
        <is>
          <t>/integrations/claude-code</t>
        </is>
      </c>
      <c r="P160" s="12" t="inlineStr">
        <is>
          <t>Integration</t>
        </is>
      </c>
      <c r="Q160" s="14" t="n"/>
      <c r="R160" s="14" t="n"/>
      <c r="S160" s="14" t="n"/>
      <c r="T160" s="12" t="inlineStr">
        <is>
          <t>Not started</t>
        </is>
      </c>
      <c r="U160" s="12" t="inlineStr"/>
    </row>
    <row r="161">
      <c r="A161" s="11" t="n">
        <v>160</v>
      </c>
      <c r="B161" s="12" t="inlineStr">
        <is>
          <t>how to track claude code usage</t>
        </is>
      </c>
      <c r="C161" s="11" t="inlineStr">
        <is>
          <t>SEO</t>
        </is>
      </c>
      <c r="D161" s="12" t="inlineStr">
        <is>
          <t>Google Autocomplete</t>
        </is>
      </c>
      <c r="E161" s="12" t="inlineStr">
        <is>
          <t>Tool: Claude Code</t>
        </is>
      </c>
      <c r="F161" s="13" t="n"/>
      <c r="G161" s="13" t="n"/>
      <c r="H161" s="14" t="n"/>
      <c r="I161" s="12" t="inlineStr">
        <is>
          <t>Informational</t>
        </is>
      </c>
      <c r="J161" s="15" t="n">
        <v>2</v>
      </c>
      <c r="K161" s="16">
        <f>IF(I161="","",IF(I161="Transactional",3,IF(I161="Commercial",2,1)))</f>
        <v/>
      </c>
      <c r="L161" s="16">
        <f>IF(G161="","",IF(G161&lt;=20,3,IF(G161&lt;=50,2,1)))</f>
        <v/>
      </c>
      <c r="M161" s="16">
        <f>IF(OR(J161="",K161="",L161=""),"",J161+K161+L161)</f>
        <v/>
      </c>
      <c r="N161" s="11" t="inlineStr">
        <is>
          <t>Secondary</t>
        </is>
      </c>
      <c r="O161" s="12" t="inlineStr">
        <is>
          <t>/integrations/claude-code</t>
        </is>
      </c>
      <c r="P161" s="12" t="inlineStr">
        <is>
          <t>Integration</t>
        </is>
      </c>
      <c r="Q161" s="14" t="n"/>
      <c r="R161" s="14" t="n"/>
      <c r="S161" s="14" t="n"/>
      <c r="T161" s="12" t="inlineStr">
        <is>
          <t>Not started</t>
        </is>
      </c>
      <c r="U161" s="12" t="inlineStr">
        <is>
          <t>Personal how-to; answer in FAQ, then show team view</t>
        </is>
      </c>
    </row>
    <row r="162">
      <c r="A162" s="11" t="n">
        <v>161</v>
      </c>
      <c r="B162" s="12" t="inlineStr">
        <is>
          <t>how to check claude code usage</t>
        </is>
      </c>
      <c r="C162" s="11" t="inlineStr">
        <is>
          <t>SEO</t>
        </is>
      </c>
      <c r="D162" s="12" t="inlineStr">
        <is>
          <t>Google Autocomplete</t>
        </is>
      </c>
      <c r="E162" s="12" t="inlineStr">
        <is>
          <t>Tool: Claude Code</t>
        </is>
      </c>
      <c r="F162" s="13" t="n"/>
      <c r="G162" s="13" t="n"/>
      <c r="H162" s="14" t="n"/>
      <c r="I162" s="12" t="inlineStr">
        <is>
          <t>Informational</t>
        </is>
      </c>
      <c r="J162" s="15" t="n">
        <v>2</v>
      </c>
      <c r="K162" s="16">
        <f>IF(I162="","",IF(I162="Transactional",3,IF(I162="Commercial",2,1)))</f>
        <v/>
      </c>
      <c r="L162" s="16">
        <f>IF(G162="","",IF(G162&lt;=20,3,IF(G162&lt;=50,2,1)))</f>
        <v/>
      </c>
      <c r="M162" s="16">
        <f>IF(OR(J162="",K162="",L162=""),"",J162+K162+L162)</f>
        <v/>
      </c>
      <c r="N162" s="11" t="inlineStr">
        <is>
          <t>Secondary</t>
        </is>
      </c>
      <c r="O162" s="12" t="inlineStr">
        <is>
          <t>/integrations/claude-code</t>
        </is>
      </c>
      <c r="P162" s="12" t="inlineStr">
        <is>
          <t>Integration</t>
        </is>
      </c>
      <c r="Q162" s="14" t="n"/>
      <c r="R162" s="14" t="n"/>
      <c r="S162" s="14" t="n"/>
      <c r="T162" s="12" t="inlineStr">
        <is>
          <t>Not started</t>
        </is>
      </c>
      <c r="U162" s="12" t="inlineStr">
        <is>
          <t>Personal how-to; answer in FAQ, then show team view</t>
        </is>
      </c>
    </row>
    <row r="163">
      <c r="A163" s="11" t="n">
        <v>162</v>
      </c>
      <c r="B163" s="12" t="inlineStr">
        <is>
          <t>how do i check claude code usage</t>
        </is>
      </c>
      <c r="C163" s="11" t="inlineStr">
        <is>
          <t>SEO</t>
        </is>
      </c>
      <c r="D163" s="12" t="inlineStr">
        <is>
          <t>Google Autocomplete</t>
        </is>
      </c>
      <c r="E163" s="12" t="inlineStr">
        <is>
          <t>Tool: Claude Code</t>
        </is>
      </c>
      <c r="F163" s="13" t="n"/>
      <c r="G163" s="13" t="n"/>
      <c r="H163" s="14" t="n"/>
      <c r="I163" s="12" t="inlineStr">
        <is>
          <t>Informational</t>
        </is>
      </c>
      <c r="J163" s="15" t="n">
        <v>2</v>
      </c>
      <c r="K163" s="16">
        <f>IF(I163="","",IF(I163="Transactional",3,IF(I163="Commercial",2,1)))</f>
        <v/>
      </c>
      <c r="L163" s="16">
        <f>IF(G163="","",IF(G163&lt;=20,3,IF(G163&lt;=50,2,1)))</f>
        <v/>
      </c>
      <c r="M163" s="16">
        <f>IF(OR(J163="",K163="",L163=""),"",J163+K163+L163)</f>
        <v/>
      </c>
      <c r="N163" s="11" t="inlineStr">
        <is>
          <t>Secondary</t>
        </is>
      </c>
      <c r="O163" s="12" t="inlineStr">
        <is>
          <t>/integrations/claude-code</t>
        </is>
      </c>
      <c r="P163" s="12" t="inlineStr">
        <is>
          <t>Integration</t>
        </is>
      </c>
      <c r="Q163" s="14" t="n"/>
      <c r="R163" s="14" t="n"/>
      <c r="S163" s="14" t="n"/>
      <c r="T163" s="12" t="inlineStr">
        <is>
          <t>Not started</t>
        </is>
      </c>
      <c r="U163" s="12" t="inlineStr">
        <is>
          <t>Personal how-to; answer in FAQ, then show team view</t>
        </is>
      </c>
    </row>
    <row r="164">
      <c r="A164" s="11" t="n">
        <v>163</v>
      </c>
      <c r="B164" s="12" t="inlineStr">
        <is>
          <t>what is claude code analytics</t>
        </is>
      </c>
      <c r="C164" s="11" t="inlineStr">
        <is>
          <t>SEO</t>
        </is>
      </c>
      <c r="D164" s="12" t="inlineStr">
        <is>
          <t>Google Autocomplete</t>
        </is>
      </c>
      <c r="E164" s="12" t="inlineStr">
        <is>
          <t>Tool: Claude Code</t>
        </is>
      </c>
      <c r="F164" s="13" t="n"/>
      <c r="G164" s="13" t="n"/>
      <c r="H164" s="14" t="n"/>
      <c r="I164" s="12" t="inlineStr">
        <is>
          <t>Informational</t>
        </is>
      </c>
      <c r="J164" s="15" t="n">
        <v>2</v>
      </c>
      <c r="K164" s="16">
        <f>IF(I164="","",IF(I164="Transactional",3,IF(I164="Commercial",2,1)))</f>
        <v/>
      </c>
      <c r="L164" s="16">
        <f>IF(G164="","",IF(G164&lt;=20,3,IF(G164&lt;=50,2,1)))</f>
        <v/>
      </c>
      <c r="M164" s="16">
        <f>IF(OR(J164="",K164="",L164=""),"",J164+K164+L164)</f>
        <v/>
      </c>
      <c r="N164" s="11" t="inlineStr">
        <is>
          <t>Secondary</t>
        </is>
      </c>
      <c r="O164" s="12" t="inlineStr">
        <is>
          <t>/integrations/claude-code</t>
        </is>
      </c>
      <c r="P164" s="12" t="inlineStr">
        <is>
          <t>Integration</t>
        </is>
      </c>
      <c r="Q164" s="14" t="n"/>
      <c r="R164" s="14" t="n"/>
      <c r="S164" s="14" t="n"/>
      <c r="T164" s="12" t="inlineStr">
        <is>
          <t>Not started</t>
        </is>
      </c>
      <c r="U164" s="12" t="inlineStr">
        <is>
          <t>Personal how-to; answer in FAQ, then show team view</t>
        </is>
      </c>
    </row>
    <row r="165">
      <c r="A165" s="11" t="n">
        <v>164</v>
      </c>
      <c r="B165" s="12" t="inlineStr">
        <is>
          <t>claude code analytics admin api</t>
        </is>
      </c>
      <c r="C165" s="11" t="inlineStr">
        <is>
          <t>SEO</t>
        </is>
      </c>
      <c r="D165" s="12" t="inlineStr">
        <is>
          <t>Google Autocomplete</t>
        </is>
      </c>
      <c r="E165" s="12" t="inlineStr">
        <is>
          <t>Tool: Claude Code</t>
        </is>
      </c>
      <c r="F165" s="13" t="n"/>
      <c r="G165" s="13" t="n"/>
      <c r="H165" s="14" t="n"/>
      <c r="I165" s="12" t="inlineStr">
        <is>
          <t>Commercial</t>
        </is>
      </c>
      <c r="J165" s="15" t="n">
        <v>2</v>
      </c>
      <c r="K165" s="16">
        <f>IF(I165="","",IF(I165="Transactional",3,IF(I165="Commercial",2,1)))</f>
        <v/>
      </c>
      <c r="L165" s="16">
        <f>IF(G165="","",IF(G165&lt;=20,3,IF(G165&lt;=50,2,1)))</f>
        <v/>
      </c>
      <c r="M165" s="16">
        <f>IF(OR(J165="",K165="",L165=""),"",J165+K165+L165)</f>
        <v/>
      </c>
      <c r="N165" s="11" t="inlineStr">
        <is>
          <t>Secondary</t>
        </is>
      </c>
      <c r="O165" s="12" t="inlineStr">
        <is>
          <t>/docs</t>
        </is>
      </c>
      <c r="P165" s="12" t="inlineStr">
        <is>
          <t>Docs</t>
        </is>
      </c>
      <c r="Q165" s="14" t="n"/>
      <c r="R165" s="14" t="n"/>
      <c r="S165" s="14" t="n"/>
      <c r="T165" s="12" t="inlineStr">
        <is>
          <t>Not started</t>
        </is>
      </c>
      <c r="U165" s="12" t="inlineStr">
        <is>
          <t>Developers comparing with Anthropic's own API</t>
        </is>
      </c>
    </row>
    <row r="166">
      <c r="A166" s="11" t="n">
        <v>165</v>
      </c>
      <c r="B166" s="12" t="inlineStr">
        <is>
          <t>claude code cost tracker</t>
        </is>
      </c>
      <c r="C166" s="11" t="inlineStr">
        <is>
          <t>SEO</t>
        </is>
      </c>
      <c r="D166" s="12" t="inlineStr">
        <is>
          <t>Google Autocomplete</t>
        </is>
      </c>
      <c r="E166" s="12" t="inlineStr">
        <is>
          <t>Cost</t>
        </is>
      </c>
      <c r="F166" s="13" t="n"/>
      <c r="G166" s="13" t="n"/>
      <c r="H166" s="14" t="n"/>
      <c r="I166" s="12" t="inlineStr">
        <is>
          <t>Commercial</t>
        </is>
      </c>
      <c r="J166" s="15" t="n">
        <v>3</v>
      </c>
      <c r="K166" s="16">
        <f>IF(I166="","",IF(I166="Transactional",3,IF(I166="Commercial",2,1)))</f>
        <v/>
      </c>
      <c r="L166" s="16">
        <f>IF(G166="","",IF(G166&lt;=20,3,IF(G166&lt;=50,2,1)))</f>
        <v/>
      </c>
      <c r="M166" s="16">
        <f>IF(OR(J166="",K166="",L166=""),"",J166+K166+L166)</f>
        <v/>
      </c>
      <c r="N166" s="11" t="inlineStr">
        <is>
          <t>Secondary</t>
        </is>
      </c>
      <c r="O166" s="12" t="inlineStr">
        <is>
          <t>/ai-cost-tracking</t>
        </is>
      </c>
      <c r="P166" s="12" t="inlineStr">
        <is>
          <t>Interactive guide</t>
        </is>
      </c>
      <c r="Q166" s="14" t="n"/>
      <c r="R166" s="14" t="n"/>
      <c r="S166" s="14" t="n"/>
      <c r="T166" s="12" t="inlineStr">
        <is>
          <t>Not started</t>
        </is>
      </c>
      <c r="U166" s="12" t="inlineStr"/>
    </row>
    <row r="167">
      <c r="A167" s="11" t="n">
        <v>166</v>
      </c>
      <c r="B167" s="12" t="inlineStr">
        <is>
          <t>claude code cost tracking</t>
        </is>
      </c>
      <c r="C167" s="11" t="inlineStr">
        <is>
          <t>SEO</t>
        </is>
      </c>
      <c r="D167" s="12" t="inlineStr">
        <is>
          <t>Google Autocomplete</t>
        </is>
      </c>
      <c r="E167" s="12" t="inlineStr">
        <is>
          <t>Cost</t>
        </is>
      </c>
      <c r="F167" s="13" t="n"/>
      <c r="G167" s="13" t="n"/>
      <c r="H167" s="14" t="n"/>
      <c r="I167" s="12" t="inlineStr">
        <is>
          <t>Commercial</t>
        </is>
      </c>
      <c r="J167" s="15" t="n">
        <v>3</v>
      </c>
      <c r="K167" s="16">
        <f>IF(I167="","",IF(I167="Transactional",3,IF(I167="Commercial",2,1)))</f>
        <v/>
      </c>
      <c r="L167" s="16">
        <f>IF(G167="","",IF(G167&lt;=20,3,IF(G167&lt;=50,2,1)))</f>
        <v/>
      </c>
      <c r="M167" s="16">
        <f>IF(OR(J167="",K167="",L167=""),"",J167+K167+L167)</f>
        <v/>
      </c>
      <c r="N167" s="11" t="inlineStr">
        <is>
          <t>Secondary</t>
        </is>
      </c>
      <c r="O167" s="12" t="inlineStr">
        <is>
          <t>/ai-cost-tracking</t>
        </is>
      </c>
      <c r="P167" s="12" t="inlineStr">
        <is>
          <t>Interactive guide</t>
        </is>
      </c>
      <c r="Q167" s="14" t="n"/>
      <c r="R167" s="14" t="n"/>
      <c r="S167" s="14" t="n"/>
      <c r="T167" s="12" t="inlineStr">
        <is>
          <t>Not started</t>
        </is>
      </c>
      <c r="U167" s="12" t="inlineStr"/>
    </row>
    <row r="168">
      <c r="A168" s="11" t="n">
        <v>167</v>
      </c>
      <c r="B168" s="12" t="inlineStr">
        <is>
          <t>claude code cost dashboard</t>
        </is>
      </c>
      <c r="C168" s="11" t="inlineStr">
        <is>
          <t>SEO</t>
        </is>
      </c>
      <c r="D168" s="12" t="inlineStr">
        <is>
          <t>Google Autocomplete</t>
        </is>
      </c>
      <c r="E168" s="12" t="inlineStr">
        <is>
          <t>Cost</t>
        </is>
      </c>
      <c r="F168" s="13" t="n"/>
      <c r="G168" s="13" t="n"/>
      <c r="H168" s="14" t="n"/>
      <c r="I168" s="12" t="inlineStr">
        <is>
          <t>Commercial</t>
        </is>
      </c>
      <c r="J168" s="15" t="n">
        <v>3</v>
      </c>
      <c r="K168" s="16">
        <f>IF(I168="","",IF(I168="Transactional",3,IF(I168="Commercial",2,1)))</f>
        <v/>
      </c>
      <c r="L168" s="16">
        <f>IF(G168="","",IF(G168&lt;=20,3,IF(G168&lt;=50,2,1)))</f>
        <v/>
      </c>
      <c r="M168" s="16">
        <f>IF(OR(J168="",K168="",L168=""),"",J168+K168+L168)</f>
        <v/>
      </c>
      <c r="N168" s="11" t="inlineStr">
        <is>
          <t>Secondary</t>
        </is>
      </c>
      <c r="O168" s="12" t="inlineStr">
        <is>
          <t>/ai-cost-tracking</t>
        </is>
      </c>
      <c r="P168" s="12" t="inlineStr">
        <is>
          <t>Interactive guide</t>
        </is>
      </c>
      <c r="Q168" s="14" t="n"/>
      <c r="R168" s="14" t="n"/>
      <c r="S168" s="14" t="n"/>
      <c r="T168" s="12" t="inlineStr">
        <is>
          <t>Not started</t>
        </is>
      </c>
      <c r="U168" s="12" t="inlineStr"/>
    </row>
    <row r="169">
      <c r="A169" s="11" t="n">
        <v>168</v>
      </c>
      <c r="B169" s="12" t="inlineStr">
        <is>
          <t>claude code cost per user</t>
        </is>
      </c>
      <c r="C169" s="11" t="inlineStr">
        <is>
          <t>SEO</t>
        </is>
      </c>
      <c r="D169" s="12" t="inlineStr">
        <is>
          <t>Google Autocomplete</t>
        </is>
      </c>
      <c r="E169" s="12" t="inlineStr">
        <is>
          <t>Cost</t>
        </is>
      </c>
      <c r="F169" s="13" t="n"/>
      <c r="G169" s="13" t="n"/>
      <c r="H169" s="14" t="n"/>
      <c r="I169" s="12" t="inlineStr">
        <is>
          <t>Commercial</t>
        </is>
      </c>
      <c r="J169" s="15" t="n">
        <v>3</v>
      </c>
      <c r="K169" s="16">
        <f>IF(I169="","",IF(I169="Transactional",3,IF(I169="Commercial",2,1)))</f>
        <v/>
      </c>
      <c r="L169" s="16">
        <f>IF(G169="","",IF(G169&lt;=20,3,IF(G169&lt;=50,2,1)))</f>
        <v/>
      </c>
      <c r="M169" s="16">
        <f>IF(OR(J169="",K169="",L169=""),"",J169+K169+L169)</f>
        <v/>
      </c>
      <c r="N169" s="11" t="inlineStr">
        <is>
          <t>Secondary</t>
        </is>
      </c>
      <c r="O169" s="12" t="inlineStr">
        <is>
          <t>/ai-cost-tracking</t>
        </is>
      </c>
      <c r="P169" s="12" t="inlineStr">
        <is>
          <t>Interactive guide</t>
        </is>
      </c>
      <c r="Q169" s="14" t="n"/>
      <c r="R169" s="14" t="n"/>
      <c r="S169" s="14" t="n"/>
      <c r="T169" s="12" t="inlineStr">
        <is>
          <t>Not started</t>
        </is>
      </c>
      <c r="U169" s="12" t="inlineStr"/>
    </row>
    <row r="170">
      <c r="A170" s="11" t="n">
        <v>169</v>
      </c>
      <c r="B170" s="12" t="inlineStr">
        <is>
          <t>claude code cost report</t>
        </is>
      </c>
      <c r="C170" s="11" t="inlineStr">
        <is>
          <t>SEO</t>
        </is>
      </c>
      <c r="D170" s="12" t="inlineStr">
        <is>
          <t>Google Autocomplete</t>
        </is>
      </c>
      <c r="E170" s="12" t="inlineStr">
        <is>
          <t>Cost</t>
        </is>
      </c>
      <c r="F170" s="13" t="n"/>
      <c r="G170" s="13" t="n"/>
      <c r="H170" s="14" t="n"/>
      <c r="I170" s="12" t="inlineStr">
        <is>
          <t>Commercial</t>
        </is>
      </c>
      <c r="J170" s="15" t="n">
        <v>3</v>
      </c>
      <c r="K170" s="16">
        <f>IF(I170="","",IF(I170="Transactional",3,IF(I170="Commercial",2,1)))</f>
        <v/>
      </c>
      <c r="L170" s="16">
        <f>IF(G170="","",IF(G170&lt;=20,3,IF(G170&lt;=50,2,1)))</f>
        <v/>
      </c>
      <c r="M170" s="16">
        <f>IF(OR(J170="",K170="",L170=""),"",J170+K170+L170)</f>
        <v/>
      </c>
      <c r="N170" s="11" t="inlineStr">
        <is>
          <t>Secondary</t>
        </is>
      </c>
      <c r="O170" s="12" t="inlineStr">
        <is>
          <t>/ai-cost-tracking</t>
        </is>
      </c>
      <c r="P170" s="12" t="inlineStr">
        <is>
          <t>Interactive guide</t>
        </is>
      </c>
      <c r="Q170" s="14" t="n"/>
      <c r="R170" s="14" t="n"/>
      <c r="S170" s="14" t="n"/>
      <c r="T170" s="12" t="inlineStr">
        <is>
          <t>Not started</t>
        </is>
      </c>
      <c r="U170" s="12" t="inlineStr"/>
    </row>
    <row r="171">
      <c r="A171" s="11" t="n">
        <v>170</v>
      </c>
      <c r="B171" s="12" t="inlineStr">
        <is>
          <t>claude code cost monitor</t>
        </is>
      </c>
      <c r="C171" s="11" t="inlineStr">
        <is>
          <t>SEO</t>
        </is>
      </c>
      <c r="D171" s="12" t="inlineStr">
        <is>
          <t>Google Autocomplete</t>
        </is>
      </c>
      <c r="E171" s="12" t="inlineStr">
        <is>
          <t>Cost</t>
        </is>
      </c>
      <c r="F171" s="13" t="n"/>
      <c r="G171" s="13" t="n"/>
      <c r="H171" s="14" t="n"/>
      <c r="I171" s="12" t="inlineStr">
        <is>
          <t>Commercial</t>
        </is>
      </c>
      <c r="J171" s="15" t="n">
        <v>3</v>
      </c>
      <c r="K171" s="16">
        <f>IF(I171="","",IF(I171="Transactional",3,IF(I171="Commercial",2,1)))</f>
        <v/>
      </c>
      <c r="L171" s="16">
        <f>IF(G171="","",IF(G171&lt;=20,3,IF(G171&lt;=50,2,1)))</f>
        <v/>
      </c>
      <c r="M171" s="16">
        <f>IF(OR(J171="",K171="",L171=""),"",J171+K171+L171)</f>
        <v/>
      </c>
      <c r="N171" s="11" t="inlineStr">
        <is>
          <t>Secondary</t>
        </is>
      </c>
      <c r="O171" s="12" t="inlineStr">
        <is>
          <t>/ai-cost-tracking</t>
        </is>
      </c>
      <c r="P171" s="12" t="inlineStr">
        <is>
          <t>Interactive guide</t>
        </is>
      </c>
      <c r="Q171" s="14" t="n"/>
      <c r="R171" s="14" t="n"/>
      <c r="S171" s="14" t="n"/>
      <c r="T171" s="12" t="inlineStr">
        <is>
          <t>Not started</t>
        </is>
      </c>
      <c r="U171" s="12" t="inlineStr"/>
    </row>
    <row r="172">
      <c r="A172" s="11" t="n">
        <v>171</v>
      </c>
      <c r="B172" s="12" t="inlineStr">
        <is>
          <t>claude code limit tracker</t>
        </is>
      </c>
      <c r="C172" s="11" t="inlineStr">
        <is>
          <t>SEO</t>
        </is>
      </c>
      <c r="D172" s="12" t="inlineStr">
        <is>
          <t>Google Autocomplete</t>
        </is>
      </c>
      <c r="E172" s="12" t="inlineStr">
        <is>
          <t>Limits</t>
        </is>
      </c>
      <c r="F172" s="13" t="n"/>
      <c r="G172" s="13" t="n"/>
      <c r="H172" s="14" t="n"/>
      <c r="I172" s="12" t="inlineStr">
        <is>
          <t>Commercial</t>
        </is>
      </c>
      <c r="J172" s="15" t="n">
        <v>3</v>
      </c>
      <c r="K172" s="16">
        <f>IF(I172="","",IF(I172="Transactional",3,IF(I172="Commercial",2,1)))</f>
        <v/>
      </c>
      <c r="L172" s="16">
        <f>IF(G172="","",IF(G172&lt;=20,3,IF(G172&lt;=50,2,1)))</f>
        <v/>
      </c>
      <c r="M172" s="16">
        <f>IF(OR(J172="",K172="",L172=""),"",J172+K172+L172)</f>
        <v/>
      </c>
      <c r="N172" s="11" t="inlineStr">
        <is>
          <t>Secondary</t>
        </is>
      </c>
      <c r="O172" s="12" t="inlineStr">
        <is>
          <t>/plan-headroom</t>
        </is>
      </c>
      <c r="P172" s="12" t="inlineStr">
        <is>
          <t>Feature</t>
        </is>
      </c>
      <c r="Q172" s="14" t="n"/>
      <c r="R172" s="14" t="n"/>
      <c r="S172" s="14" t="n"/>
      <c r="T172" s="12" t="inlineStr">
        <is>
          <t>Not started</t>
        </is>
      </c>
      <c r="U172" s="12" t="inlineStr"/>
    </row>
    <row r="173">
      <c r="A173" s="11" t="n">
        <v>172</v>
      </c>
      <c r="B173" s="12" t="inlineStr">
        <is>
          <t>claude code limit monitor</t>
        </is>
      </c>
      <c r="C173" s="11" t="inlineStr">
        <is>
          <t>SEO</t>
        </is>
      </c>
      <c r="D173" s="12" t="inlineStr">
        <is>
          <t>Google Autocomplete</t>
        </is>
      </c>
      <c r="E173" s="12" t="inlineStr">
        <is>
          <t>Limits</t>
        </is>
      </c>
      <c r="F173" s="13" t="n"/>
      <c r="G173" s="13" t="n"/>
      <c r="H173" s="14" t="n"/>
      <c r="I173" s="12" t="inlineStr">
        <is>
          <t>Commercial</t>
        </is>
      </c>
      <c r="J173" s="15" t="n">
        <v>3</v>
      </c>
      <c r="K173" s="16">
        <f>IF(I173="","",IF(I173="Transactional",3,IF(I173="Commercial",2,1)))</f>
        <v/>
      </c>
      <c r="L173" s="16">
        <f>IF(G173="","",IF(G173&lt;=20,3,IF(G173&lt;=50,2,1)))</f>
        <v/>
      </c>
      <c r="M173" s="16">
        <f>IF(OR(J173="",K173="",L173=""),"",J173+K173+L173)</f>
        <v/>
      </c>
      <c r="N173" s="11" t="inlineStr">
        <is>
          <t>Secondary</t>
        </is>
      </c>
      <c r="O173" s="12" t="inlineStr">
        <is>
          <t>/plan-headroom</t>
        </is>
      </c>
      <c r="P173" s="12" t="inlineStr">
        <is>
          <t>Feature</t>
        </is>
      </c>
      <c r="Q173" s="14" t="n"/>
      <c r="R173" s="14" t="n"/>
      <c r="S173" s="14" t="n"/>
      <c r="T173" s="12" t="inlineStr">
        <is>
          <t>Not started</t>
        </is>
      </c>
      <c r="U173" s="12" t="inlineStr"/>
    </row>
    <row r="174">
      <c r="A174" s="11" t="n">
        <v>173</v>
      </c>
      <c r="B174" s="12" t="inlineStr">
        <is>
          <t>claude code limit dashboard</t>
        </is>
      </c>
      <c r="C174" s="11" t="inlineStr">
        <is>
          <t>SEO</t>
        </is>
      </c>
      <c r="D174" s="12" t="inlineStr">
        <is>
          <t>Google Autocomplete</t>
        </is>
      </c>
      <c r="E174" s="12" t="inlineStr">
        <is>
          <t>Limits</t>
        </is>
      </c>
      <c r="F174" s="13" t="n"/>
      <c r="G174" s="13" t="n"/>
      <c r="H174" s="14" t="n"/>
      <c r="I174" s="12" t="inlineStr">
        <is>
          <t>Commercial</t>
        </is>
      </c>
      <c r="J174" s="15" t="n">
        <v>3</v>
      </c>
      <c r="K174" s="16">
        <f>IF(I174="","",IF(I174="Transactional",3,IF(I174="Commercial",2,1)))</f>
        <v/>
      </c>
      <c r="L174" s="16">
        <f>IF(G174="","",IF(G174&lt;=20,3,IF(G174&lt;=50,2,1)))</f>
        <v/>
      </c>
      <c r="M174" s="16">
        <f>IF(OR(J174="",K174="",L174=""),"",J174+K174+L174)</f>
        <v/>
      </c>
      <c r="N174" s="11" t="inlineStr">
        <is>
          <t>Secondary</t>
        </is>
      </c>
      <c r="O174" s="12" t="inlineStr">
        <is>
          <t>/plan-headroom</t>
        </is>
      </c>
      <c r="P174" s="12" t="inlineStr">
        <is>
          <t>Feature</t>
        </is>
      </c>
      <c r="Q174" s="14" t="n"/>
      <c r="R174" s="14" t="n"/>
      <c r="S174" s="14" t="n"/>
      <c r="T174" s="12" t="inlineStr">
        <is>
          <t>Not started</t>
        </is>
      </c>
      <c r="U174" s="12" t="inlineStr"/>
    </row>
    <row r="175">
      <c r="A175" s="11" t="n">
        <v>174</v>
      </c>
      <c r="B175" s="12" t="inlineStr">
        <is>
          <t>claude code team usage limits</t>
        </is>
      </c>
      <c r="C175" s="11" t="inlineStr">
        <is>
          <t>SEO</t>
        </is>
      </c>
      <c r="D175" s="12" t="inlineStr">
        <is>
          <t>Google Autocomplete</t>
        </is>
      </c>
      <c r="E175" s="12" t="inlineStr">
        <is>
          <t>Limits</t>
        </is>
      </c>
      <c r="F175" s="13" t="n"/>
      <c r="G175" s="13" t="n"/>
      <c r="H175" s="14" t="n"/>
      <c r="I175" s="12" t="inlineStr">
        <is>
          <t>Commercial</t>
        </is>
      </c>
      <c r="J175" s="15" t="n">
        <v>3</v>
      </c>
      <c r="K175" s="16">
        <f>IF(I175="","",IF(I175="Transactional",3,IF(I175="Commercial",2,1)))</f>
        <v/>
      </c>
      <c r="L175" s="16">
        <f>IF(G175="","",IF(G175&lt;=20,3,IF(G175&lt;=50,2,1)))</f>
        <v/>
      </c>
      <c r="M175" s="16">
        <f>IF(OR(J175="",K175="",L175=""),"",J175+K175+L175)</f>
        <v/>
      </c>
      <c r="N175" s="11" t="inlineStr">
        <is>
          <t>Secondary</t>
        </is>
      </c>
      <c r="O175" s="12" t="inlineStr">
        <is>
          <t>/plan-headroom</t>
        </is>
      </c>
      <c r="P175" s="12" t="inlineStr">
        <is>
          <t>Feature</t>
        </is>
      </c>
      <c r="Q175" s="14" t="n"/>
      <c r="R175" s="14" t="n"/>
      <c r="S175" s="14" t="n"/>
      <c r="T175" s="12" t="inlineStr">
        <is>
          <t>Not started</t>
        </is>
      </c>
      <c r="U175" s="12" t="inlineStr"/>
    </row>
    <row r="176">
      <c r="A176" s="11" t="n">
        <v>175</v>
      </c>
      <c r="B176" s="12" t="inlineStr">
        <is>
          <t>claude code team token limit</t>
        </is>
      </c>
      <c r="C176" s="11" t="inlineStr">
        <is>
          <t>SEO</t>
        </is>
      </c>
      <c r="D176" s="12" t="inlineStr">
        <is>
          <t>Google Autocomplete</t>
        </is>
      </c>
      <c r="E176" s="12" t="inlineStr">
        <is>
          <t>Limits</t>
        </is>
      </c>
      <c r="F176" s="13" t="n"/>
      <c r="G176" s="13" t="n"/>
      <c r="H176" s="14" t="n"/>
      <c r="I176" s="12" t="inlineStr">
        <is>
          <t>Commercial</t>
        </is>
      </c>
      <c r="J176" s="15" t="n">
        <v>3</v>
      </c>
      <c r="K176" s="16">
        <f>IF(I176="","",IF(I176="Transactional",3,IF(I176="Commercial",2,1)))</f>
        <v/>
      </c>
      <c r="L176" s="16">
        <f>IF(G176="","",IF(G176&lt;=20,3,IF(G176&lt;=50,2,1)))</f>
        <v/>
      </c>
      <c r="M176" s="16">
        <f>IF(OR(J176="",K176="",L176=""),"",J176+K176+L176)</f>
        <v/>
      </c>
      <c r="N176" s="11" t="inlineStr">
        <is>
          <t>Secondary</t>
        </is>
      </c>
      <c r="O176" s="12" t="inlineStr">
        <is>
          <t>/plan-headroom</t>
        </is>
      </c>
      <c r="P176" s="12" t="inlineStr">
        <is>
          <t>Feature</t>
        </is>
      </c>
      <c r="Q176" s="14" t="n"/>
      <c r="R176" s="14" t="n"/>
      <c r="S176" s="14" t="n"/>
      <c r="T176" s="12" t="inlineStr">
        <is>
          <t>Not started</t>
        </is>
      </c>
      <c r="U176" s="12" t="inlineStr"/>
    </row>
    <row r="177">
      <c r="A177" s="11" t="n">
        <v>176</v>
      </c>
      <c r="B177" s="12" t="inlineStr">
        <is>
          <t>claude code limit reached contact an admin to keep working</t>
        </is>
      </c>
      <c r="C177" s="11" t="inlineStr">
        <is>
          <t>SEO</t>
        </is>
      </c>
      <c r="D177" s="12" t="inlineStr">
        <is>
          <t>Google Autocomplete</t>
        </is>
      </c>
      <c r="E177" s="12" t="inlineStr">
        <is>
          <t>Limits</t>
        </is>
      </c>
      <c r="F177" s="13" t="n"/>
      <c r="G177" s="13" t="n"/>
      <c r="H177" s="14" t="n"/>
      <c r="I177" s="12" t="inlineStr">
        <is>
          <t>Commercial</t>
        </is>
      </c>
      <c r="J177" s="15" t="n">
        <v>3</v>
      </c>
      <c r="K177" s="16">
        <f>IF(I177="","",IF(I177="Transactional",3,IF(I177="Commercial",2,1)))</f>
        <v/>
      </c>
      <c r="L177" s="16">
        <f>IF(G177="","",IF(G177&lt;=20,3,IF(G177&lt;=50,2,1)))</f>
        <v/>
      </c>
      <c r="M177" s="16">
        <f>IF(OR(J177="",K177="",L177=""),"",J177+K177+L177)</f>
        <v/>
      </c>
      <c r="N177" s="11" t="inlineStr">
        <is>
          <t>Secondary</t>
        </is>
      </c>
      <c r="O177" s="12" t="inlineStr">
        <is>
          <t>/plan-headroom</t>
        </is>
      </c>
      <c r="P177" s="12" t="inlineStr">
        <is>
          <t>Feature</t>
        </is>
      </c>
      <c r="Q177" s="14" t="n"/>
      <c r="R177" s="14" t="n"/>
      <c r="S177" s="14" t="n"/>
      <c r="T177" s="12" t="inlineStr">
        <is>
          <t>Not started</t>
        </is>
      </c>
      <c r="U177" s="12" t="inlineStr"/>
    </row>
    <row r="178">
      <c r="A178" s="11" t="n">
        <v>177</v>
      </c>
      <c r="B178" s="12" t="inlineStr">
        <is>
          <t>claude weekly limit reset</t>
        </is>
      </c>
      <c r="C178" s="11" t="inlineStr">
        <is>
          <t>SEO</t>
        </is>
      </c>
      <c r="D178" s="12" t="inlineStr">
        <is>
          <t>Google Autocomplete</t>
        </is>
      </c>
      <c r="E178" s="12" t="inlineStr">
        <is>
          <t>Limits</t>
        </is>
      </c>
      <c r="F178" s="13" t="n"/>
      <c r="G178" s="13" t="n"/>
      <c r="H178" s="14" t="n"/>
      <c r="I178" s="12" t="inlineStr">
        <is>
          <t>Informational</t>
        </is>
      </c>
      <c r="J178" s="15" t="n">
        <v>2</v>
      </c>
      <c r="K178" s="16">
        <f>IF(I178="","",IF(I178="Transactional",3,IF(I178="Commercial",2,1)))</f>
        <v/>
      </c>
      <c r="L178" s="16">
        <f>IF(G178="","",IF(G178&lt;=20,3,IF(G178&lt;=50,2,1)))</f>
        <v/>
      </c>
      <c r="M178" s="16">
        <f>IF(OR(J178="",K178="",L178=""),"",J178+K178+L178)</f>
        <v/>
      </c>
      <c r="N178" s="11" t="inlineStr">
        <is>
          <t>Secondary</t>
        </is>
      </c>
      <c r="O178" s="12" t="inlineStr">
        <is>
          <t>/claude-code-usage-limits</t>
        </is>
      </c>
      <c r="P178" s="12" t="inlineStr">
        <is>
          <t>Interactive guide</t>
        </is>
      </c>
      <c r="Q178" s="14" t="n"/>
      <c r="R178" s="14" t="n"/>
      <c r="S178" s="14" t="n"/>
      <c r="T178" s="12" t="inlineStr">
        <is>
          <t>Not started</t>
        </is>
      </c>
      <c r="U178" s="12" t="inlineStr"/>
    </row>
    <row r="179">
      <c r="A179" s="11" t="n">
        <v>178</v>
      </c>
      <c r="B179" s="12" t="inlineStr">
        <is>
          <t>when do claude weekly limits reset</t>
        </is>
      </c>
      <c r="C179" s="11" t="inlineStr">
        <is>
          <t>SEO</t>
        </is>
      </c>
      <c r="D179" s="12" t="inlineStr">
        <is>
          <t>Google Autocomplete</t>
        </is>
      </c>
      <c r="E179" s="12" t="inlineStr">
        <is>
          <t>Limits</t>
        </is>
      </c>
      <c r="F179" s="13" t="n"/>
      <c r="G179" s="13" t="n"/>
      <c r="H179" s="14" t="n"/>
      <c r="I179" s="12" t="inlineStr">
        <is>
          <t>Informational</t>
        </is>
      </c>
      <c r="J179" s="15" t="n">
        <v>2</v>
      </c>
      <c r="K179" s="16">
        <f>IF(I179="","",IF(I179="Transactional",3,IF(I179="Commercial",2,1)))</f>
        <v/>
      </c>
      <c r="L179" s="16">
        <f>IF(G179="","",IF(G179&lt;=20,3,IF(G179&lt;=50,2,1)))</f>
        <v/>
      </c>
      <c r="M179" s="16">
        <f>IF(OR(J179="",K179="",L179=""),"",J179+K179+L179)</f>
        <v/>
      </c>
      <c r="N179" s="11" t="inlineStr">
        <is>
          <t>Secondary</t>
        </is>
      </c>
      <c r="O179" s="12" t="inlineStr">
        <is>
          <t>/claude-code-usage-limits</t>
        </is>
      </c>
      <c r="P179" s="12" t="inlineStr">
        <is>
          <t>Interactive guide</t>
        </is>
      </c>
      <c r="Q179" s="14" t="n"/>
      <c r="R179" s="14" t="n"/>
      <c r="S179" s="14" t="n"/>
      <c r="T179" s="12" t="inlineStr">
        <is>
          <t>Not started</t>
        </is>
      </c>
      <c r="U179" s="12" t="inlineStr"/>
    </row>
    <row r="180">
      <c r="A180" s="11" t="n">
        <v>179</v>
      </c>
      <c r="B180" s="12" t="inlineStr">
        <is>
          <t>how does claude weekly limit work</t>
        </is>
      </c>
      <c r="C180" s="11" t="inlineStr">
        <is>
          <t>SEO</t>
        </is>
      </c>
      <c r="D180" s="12" t="inlineStr">
        <is>
          <t>Google Autocomplete</t>
        </is>
      </c>
      <c r="E180" s="12" t="inlineStr">
        <is>
          <t>Limits</t>
        </is>
      </c>
      <c r="F180" s="13" t="n"/>
      <c r="G180" s="13" t="n"/>
      <c r="H180" s="14" t="n"/>
      <c r="I180" s="12" t="inlineStr">
        <is>
          <t>Informational</t>
        </is>
      </c>
      <c r="J180" s="15" t="n">
        <v>2</v>
      </c>
      <c r="K180" s="16">
        <f>IF(I180="","",IF(I180="Transactional",3,IF(I180="Commercial",2,1)))</f>
        <v/>
      </c>
      <c r="L180" s="16">
        <f>IF(G180="","",IF(G180&lt;=20,3,IF(G180&lt;=50,2,1)))</f>
        <v/>
      </c>
      <c r="M180" s="16">
        <f>IF(OR(J180="",K180="",L180=""),"",J180+K180+L180)</f>
        <v/>
      </c>
      <c r="N180" s="11" t="inlineStr">
        <is>
          <t>Secondary</t>
        </is>
      </c>
      <c r="O180" s="12" t="inlineStr">
        <is>
          <t>/claude-code-usage-limits</t>
        </is>
      </c>
      <c r="P180" s="12" t="inlineStr">
        <is>
          <t>Interactive guide</t>
        </is>
      </c>
      <c r="Q180" s="14" t="n"/>
      <c r="R180" s="14" t="n"/>
      <c r="S180" s="14" t="n"/>
      <c r="T180" s="12" t="inlineStr">
        <is>
          <t>Not started</t>
        </is>
      </c>
      <c r="U180" s="12" t="inlineStr"/>
    </row>
    <row r="181">
      <c r="A181" s="11" t="n">
        <v>180</v>
      </c>
      <c r="B181" s="12" t="inlineStr">
        <is>
          <t>claude weekly limit vs 5 hour limit</t>
        </is>
      </c>
      <c r="C181" s="11" t="inlineStr">
        <is>
          <t>SEO</t>
        </is>
      </c>
      <c r="D181" s="12" t="inlineStr">
        <is>
          <t>Google Autocomplete</t>
        </is>
      </c>
      <c r="E181" s="12" t="inlineStr">
        <is>
          <t>Limits</t>
        </is>
      </c>
      <c r="F181" s="13" t="n"/>
      <c r="G181" s="13" t="n"/>
      <c r="H181" s="14" t="n"/>
      <c r="I181" s="12" t="inlineStr">
        <is>
          <t>Informational</t>
        </is>
      </c>
      <c r="J181" s="15" t="n">
        <v>2</v>
      </c>
      <c r="K181" s="16">
        <f>IF(I181="","",IF(I181="Transactional",3,IF(I181="Commercial",2,1)))</f>
        <v/>
      </c>
      <c r="L181" s="16">
        <f>IF(G181="","",IF(G181&lt;=20,3,IF(G181&lt;=50,2,1)))</f>
        <v/>
      </c>
      <c r="M181" s="16">
        <f>IF(OR(J181="",K181="",L181=""),"",J181+K181+L181)</f>
        <v/>
      </c>
      <c r="N181" s="11" t="inlineStr">
        <is>
          <t>Secondary</t>
        </is>
      </c>
      <c r="O181" s="12" t="inlineStr">
        <is>
          <t>/claude-code-usage-limits</t>
        </is>
      </c>
      <c r="P181" s="12" t="inlineStr">
        <is>
          <t>Interactive guide</t>
        </is>
      </c>
      <c r="Q181" s="14" t="n"/>
      <c r="R181" s="14" t="n"/>
      <c r="S181" s="14" t="n"/>
      <c r="T181" s="12" t="inlineStr">
        <is>
          <t>Not started</t>
        </is>
      </c>
      <c r="U181" s="12" t="inlineStr"/>
    </row>
    <row r="182">
      <c r="A182" s="11" t="n">
        <v>181</v>
      </c>
      <c r="B182" s="12" t="inlineStr">
        <is>
          <t>claude weekly limit vs session limit</t>
        </is>
      </c>
      <c r="C182" s="11" t="inlineStr">
        <is>
          <t>SEO</t>
        </is>
      </c>
      <c r="D182" s="12" t="inlineStr">
        <is>
          <t>Google Autocomplete</t>
        </is>
      </c>
      <c r="E182" s="12" t="inlineStr">
        <is>
          <t>Limits</t>
        </is>
      </c>
      <c r="F182" s="13" t="n"/>
      <c r="G182" s="13" t="n"/>
      <c r="H182" s="14" t="n"/>
      <c r="I182" s="12" t="inlineStr">
        <is>
          <t>Informational</t>
        </is>
      </c>
      <c r="J182" s="15" t="n">
        <v>2</v>
      </c>
      <c r="K182" s="16">
        <f>IF(I182="","",IF(I182="Transactional",3,IF(I182="Commercial",2,1)))</f>
        <v/>
      </c>
      <c r="L182" s="16">
        <f>IF(G182="","",IF(G182&lt;=20,3,IF(G182&lt;=50,2,1)))</f>
        <v/>
      </c>
      <c r="M182" s="16">
        <f>IF(OR(J182="",K182="",L182=""),"",J182+K182+L182)</f>
        <v/>
      </c>
      <c r="N182" s="11" t="inlineStr">
        <is>
          <t>Secondary</t>
        </is>
      </c>
      <c r="O182" s="12" t="inlineStr">
        <is>
          <t>/claude-code-usage-limits</t>
        </is>
      </c>
      <c r="P182" s="12" t="inlineStr">
        <is>
          <t>Interactive guide</t>
        </is>
      </c>
      <c r="Q182" s="14" t="n"/>
      <c r="R182" s="14" t="n"/>
      <c r="S182" s="14" t="n"/>
      <c r="T182" s="12" t="inlineStr">
        <is>
          <t>Not started</t>
        </is>
      </c>
      <c r="U182" s="12" t="inlineStr"/>
    </row>
    <row r="183">
      <c r="A183" s="11" t="n">
        <v>182</v>
      </c>
      <c r="B183" s="12" t="inlineStr">
        <is>
          <t>how to check claude weekly limit</t>
        </is>
      </c>
      <c r="C183" s="11" t="inlineStr">
        <is>
          <t>SEO</t>
        </is>
      </c>
      <c r="D183" s="12" t="inlineStr">
        <is>
          <t>Google Autocomplete</t>
        </is>
      </c>
      <c r="E183" s="12" t="inlineStr">
        <is>
          <t>Limits</t>
        </is>
      </c>
      <c r="F183" s="13" t="n"/>
      <c r="G183" s="13" t="n"/>
      <c r="H183" s="14" t="n"/>
      <c r="I183" s="12" t="inlineStr">
        <is>
          <t>Informational</t>
        </is>
      </c>
      <c r="J183" s="15" t="n">
        <v>2</v>
      </c>
      <c r="K183" s="16">
        <f>IF(I183="","",IF(I183="Transactional",3,IF(I183="Commercial",2,1)))</f>
        <v/>
      </c>
      <c r="L183" s="16">
        <f>IF(G183="","",IF(G183&lt;=20,3,IF(G183&lt;=50,2,1)))</f>
        <v/>
      </c>
      <c r="M183" s="16">
        <f>IF(OR(J183="",K183="",L183=""),"",J183+K183+L183)</f>
        <v/>
      </c>
      <c r="N183" s="11" t="inlineStr">
        <is>
          <t>Secondary</t>
        </is>
      </c>
      <c r="O183" s="12" t="inlineStr">
        <is>
          <t>/claude-code-usage-limits</t>
        </is>
      </c>
      <c r="P183" s="12" t="inlineStr">
        <is>
          <t>Interactive guide</t>
        </is>
      </c>
      <c r="Q183" s="14" t="n"/>
      <c r="R183" s="14" t="n"/>
      <c r="S183" s="14" t="n"/>
      <c r="T183" s="12" t="inlineStr">
        <is>
          <t>Not started</t>
        </is>
      </c>
      <c r="U183" s="12" t="inlineStr"/>
    </row>
    <row r="184">
      <c r="A184" s="11" t="n">
        <v>183</v>
      </c>
      <c r="B184" s="12" t="inlineStr">
        <is>
          <t>claude weekly limit reached</t>
        </is>
      </c>
      <c r="C184" s="11" t="inlineStr">
        <is>
          <t>SEO</t>
        </is>
      </c>
      <c r="D184" s="12" t="inlineStr">
        <is>
          <t>Google Autocomplete</t>
        </is>
      </c>
      <c r="E184" s="12" t="inlineStr">
        <is>
          <t>Limits</t>
        </is>
      </c>
      <c r="F184" s="13" t="n"/>
      <c r="G184" s="13" t="n"/>
      <c r="H184" s="14" t="n"/>
      <c r="I184" s="12" t="inlineStr">
        <is>
          <t>Informational</t>
        </is>
      </c>
      <c r="J184" s="15" t="n">
        <v>2</v>
      </c>
      <c r="K184" s="16">
        <f>IF(I184="","",IF(I184="Transactional",3,IF(I184="Commercial",2,1)))</f>
        <v/>
      </c>
      <c r="L184" s="16">
        <f>IF(G184="","",IF(G184&lt;=20,3,IF(G184&lt;=50,2,1)))</f>
        <v/>
      </c>
      <c r="M184" s="16">
        <f>IF(OR(J184="",K184="",L184=""),"",J184+K184+L184)</f>
        <v/>
      </c>
      <c r="N184" s="11" t="inlineStr">
        <is>
          <t>Secondary</t>
        </is>
      </c>
      <c r="O184" s="12" t="inlineStr">
        <is>
          <t>/claude-code-usage-limits</t>
        </is>
      </c>
      <c r="P184" s="12" t="inlineStr">
        <is>
          <t>Interactive guide</t>
        </is>
      </c>
      <c r="Q184" s="14" t="n"/>
      <c r="R184" s="14" t="n"/>
      <c r="S184" s="14" t="n"/>
      <c r="T184" s="12" t="inlineStr">
        <is>
          <t>Not started</t>
        </is>
      </c>
      <c r="U184" s="12" t="inlineStr"/>
    </row>
    <row r="185">
      <c r="A185" s="11" t="n">
        <v>184</v>
      </c>
      <c r="B185" s="12" t="inlineStr">
        <is>
          <t>claude code weekly limit reached</t>
        </is>
      </c>
      <c r="C185" s="11" t="inlineStr">
        <is>
          <t>SEO</t>
        </is>
      </c>
      <c r="D185" s="12" t="inlineStr">
        <is>
          <t>Google Autocomplete</t>
        </is>
      </c>
      <c r="E185" s="12" t="inlineStr">
        <is>
          <t>Limits</t>
        </is>
      </c>
      <c r="F185" s="13" t="n"/>
      <c r="G185" s="13" t="n"/>
      <c r="H185" s="14" t="n"/>
      <c r="I185" s="12" t="inlineStr">
        <is>
          <t>Informational</t>
        </is>
      </c>
      <c r="J185" s="15" t="n">
        <v>2</v>
      </c>
      <c r="K185" s="16">
        <f>IF(I185="","",IF(I185="Transactional",3,IF(I185="Commercial",2,1)))</f>
        <v/>
      </c>
      <c r="L185" s="16">
        <f>IF(G185="","",IF(G185&lt;=20,3,IF(G185&lt;=50,2,1)))</f>
        <v/>
      </c>
      <c r="M185" s="16">
        <f>IF(OR(J185="",K185="",L185=""),"",J185+K185+L185)</f>
        <v/>
      </c>
      <c r="N185" s="11" t="inlineStr">
        <is>
          <t>Secondary</t>
        </is>
      </c>
      <c r="O185" s="12" t="inlineStr">
        <is>
          <t>/claude-code-usage-limits</t>
        </is>
      </c>
      <c r="P185" s="12" t="inlineStr">
        <is>
          <t>Interactive guide</t>
        </is>
      </c>
      <c r="Q185" s="14" t="n"/>
      <c r="R185" s="14" t="n"/>
      <c r="S185" s="14" t="n"/>
      <c r="T185" s="12" t="inlineStr">
        <is>
          <t>Not started</t>
        </is>
      </c>
      <c r="U185" s="12" t="inlineStr"/>
    </row>
    <row r="186">
      <c r="A186" s="11" t="n">
        <v>185</v>
      </c>
      <c r="B186" s="12" t="inlineStr">
        <is>
          <t>claude code limit reset time</t>
        </is>
      </c>
      <c r="C186" s="11" t="inlineStr">
        <is>
          <t>SEO</t>
        </is>
      </c>
      <c r="D186" s="12" t="inlineStr">
        <is>
          <t>Google Autocomplete</t>
        </is>
      </c>
      <c r="E186" s="12" t="inlineStr">
        <is>
          <t>Limits</t>
        </is>
      </c>
      <c r="F186" s="13" t="n"/>
      <c r="G186" s="13" t="n"/>
      <c r="H186" s="14" t="n"/>
      <c r="I186" s="12" t="inlineStr">
        <is>
          <t>Informational</t>
        </is>
      </c>
      <c r="J186" s="15" t="n">
        <v>2</v>
      </c>
      <c r="K186" s="16">
        <f>IF(I186="","",IF(I186="Transactional",3,IF(I186="Commercial",2,1)))</f>
        <v/>
      </c>
      <c r="L186" s="16">
        <f>IF(G186="","",IF(G186&lt;=20,3,IF(G186&lt;=50,2,1)))</f>
        <v/>
      </c>
      <c r="M186" s="16">
        <f>IF(OR(J186="",K186="",L186=""),"",J186+K186+L186)</f>
        <v/>
      </c>
      <c r="N186" s="11" t="inlineStr">
        <is>
          <t>Secondary</t>
        </is>
      </c>
      <c r="O186" s="12" t="inlineStr">
        <is>
          <t>/claude-code-usage-limits</t>
        </is>
      </c>
      <c r="P186" s="12" t="inlineStr">
        <is>
          <t>Interactive guide</t>
        </is>
      </c>
      <c r="Q186" s="14" t="n"/>
      <c r="R186" s="14" t="n"/>
      <c r="S186" s="14" t="n"/>
      <c r="T186" s="12" t="inlineStr">
        <is>
          <t>Not started</t>
        </is>
      </c>
      <c r="U186" s="12" t="inlineStr"/>
    </row>
    <row r="187">
      <c r="A187" s="11" t="n">
        <v>186</v>
      </c>
      <c r="B187" s="12" t="inlineStr">
        <is>
          <t>claude weekly limits by plan</t>
        </is>
      </c>
      <c r="C187" s="11" t="inlineStr">
        <is>
          <t>SEO</t>
        </is>
      </c>
      <c r="D187" s="12" t="inlineStr">
        <is>
          <t>Google Autocomplete</t>
        </is>
      </c>
      <c r="E187" s="12" t="inlineStr">
        <is>
          <t>Limits</t>
        </is>
      </c>
      <c r="F187" s="13" t="n"/>
      <c r="G187" s="13" t="n"/>
      <c r="H187" s="14" t="n"/>
      <c r="I187" s="12" t="inlineStr">
        <is>
          <t>Informational</t>
        </is>
      </c>
      <c r="J187" s="15" t="n">
        <v>2</v>
      </c>
      <c r="K187" s="16">
        <f>IF(I187="","",IF(I187="Transactional",3,IF(I187="Commercial",2,1)))</f>
        <v/>
      </c>
      <c r="L187" s="16">
        <f>IF(G187="","",IF(G187&lt;=20,3,IF(G187&lt;=50,2,1)))</f>
        <v/>
      </c>
      <c r="M187" s="16">
        <f>IF(OR(J187="",K187="",L187=""),"",J187+K187+L187)</f>
        <v/>
      </c>
      <c r="N187" s="11" t="inlineStr">
        <is>
          <t>Secondary</t>
        </is>
      </c>
      <c r="O187" s="12" t="inlineStr">
        <is>
          <t>/claude-code-usage-limits</t>
        </is>
      </c>
      <c r="P187" s="12" t="inlineStr">
        <is>
          <t>Interactive guide</t>
        </is>
      </c>
      <c r="Q187" s="14" t="n"/>
      <c r="R187" s="14" t="n"/>
      <c r="S187" s="14" t="n"/>
      <c r="T187" s="12" t="inlineStr">
        <is>
          <t>Not started</t>
        </is>
      </c>
      <c r="U187" s="12" t="inlineStr"/>
    </row>
    <row r="188">
      <c r="A188" s="11" t="n">
        <v>187</v>
      </c>
      <c r="B188" s="12" t="inlineStr">
        <is>
          <t>claude weekly limit pro vs max</t>
        </is>
      </c>
      <c r="C188" s="11" t="inlineStr">
        <is>
          <t>SEO</t>
        </is>
      </c>
      <c r="D188" s="12" t="inlineStr">
        <is>
          <t>Google Autocomplete</t>
        </is>
      </c>
      <c r="E188" s="12" t="inlineStr">
        <is>
          <t>Limits</t>
        </is>
      </c>
      <c r="F188" s="13" t="n"/>
      <c r="G188" s="13" t="n"/>
      <c r="H188" s="14" t="n"/>
      <c r="I188" s="12" t="inlineStr">
        <is>
          <t>Informational</t>
        </is>
      </c>
      <c r="J188" s="15" t="n">
        <v>2</v>
      </c>
      <c r="K188" s="16">
        <f>IF(I188="","",IF(I188="Transactional",3,IF(I188="Commercial",2,1)))</f>
        <v/>
      </c>
      <c r="L188" s="16">
        <f>IF(G188="","",IF(G188&lt;=20,3,IF(G188&lt;=50,2,1)))</f>
        <v/>
      </c>
      <c r="M188" s="16">
        <f>IF(OR(J188="",K188="",L188=""),"",J188+K188+L188)</f>
        <v/>
      </c>
      <c r="N188" s="11" t="inlineStr">
        <is>
          <t>Secondary</t>
        </is>
      </c>
      <c r="O188" s="12" t="inlineStr">
        <is>
          <t>/claude-code-usage-limits</t>
        </is>
      </c>
      <c r="P188" s="12" t="inlineStr">
        <is>
          <t>Interactive guide</t>
        </is>
      </c>
      <c r="Q188" s="14" t="n"/>
      <c r="R188" s="14" t="n"/>
      <c r="S188" s="14" t="n"/>
      <c r="T188" s="12" t="inlineStr">
        <is>
          <t>Not started</t>
        </is>
      </c>
      <c r="U188" s="12" t="inlineStr"/>
    </row>
    <row r="189">
      <c r="A189" s="11" t="n">
        <v>188</v>
      </c>
      <c r="B189" s="12" t="inlineStr">
        <is>
          <t>claude approaching weekly limit</t>
        </is>
      </c>
      <c r="C189" s="11" t="inlineStr">
        <is>
          <t>SEO</t>
        </is>
      </c>
      <c r="D189" s="12" t="inlineStr">
        <is>
          <t>Google Autocomplete</t>
        </is>
      </c>
      <c r="E189" s="12" t="inlineStr">
        <is>
          <t>Limits</t>
        </is>
      </c>
      <c r="F189" s="13" t="n"/>
      <c r="G189" s="13" t="n"/>
      <c r="H189" s="14" t="n"/>
      <c r="I189" s="12" t="inlineStr">
        <is>
          <t>Informational</t>
        </is>
      </c>
      <c r="J189" s="15" t="n">
        <v>2</v>
      </c>
      <c r="K189" s="16">
        <f>IF(I189="","",IF(I189="Transactional",3,IF(I189="Commercial",2,1)))</f>
        <v/>
      </c>
      <c r="L189" s="16">
        <f>IF(G189="","",IF(G189&lt;=20,3,IF(G189&lt;=50,2,1)))</f>
        <v/>
      </c>
      <c r="M189" s="16">
        <f>IF(OR(J189="",K189="",L189=""),"",J189+K189+L189)</f>
        <v/>
      </c>
      <c r="N189" s="11" t="inlineStr">
        <is>
          <t>Secondary</t>
        </is>
      </c>
      <c r="O189" s="12" t="inlineStr">
        <is>
          <t>/claude-code-usage-limits</t>
        </is>
      </c>
      <c r="P189" s="12" t="inlineStr">
        <is>
          <t>Interactive guide</t>
        </is>
      </c>
      <c r="Q189" s="14" t="n"/>
      <c r="R189" s="14" t="n"/>
      <c r="S189" s="14" t="n"/>
      <c r="T189" s="12" t="inlineStr">
        <is>
          <t>Not started</t>
        </is>
      </c>
      <c r="U189" s="12" t="inlineStr"/>
    </row>
    <row r="190">
      <c r="A190" s="11" t="n">
        <v>189</v>
      </c>
      <c r="B190" s="12" t="inlineStr">
        <is>
          <t>is claude weekly limit rolling</t>
        </is>
      </c>
      <c r="C190" s="11" t="inlineStr">
        <is>
          <t>SEO</t>
        </is>
      </c>
      <c r="D190" s="12" t="inlineStr">
        <is>
          <t>Google Autocomplete</t>
        </is>
      </c>
      <c r="E190" s="12" t="inlineStr">
        <is>
          <t>Limits</t>
        </is>
      </c>
      <c r="F190" s="13" t="n"/>
      <c r="G190" s="13" t="n"/>
      <c r="H190" s="14" t="n"/>
      <c r="I190" s="12" t="inlineStr">
        <is>
          <t>Informational</t>
        </is>
      </c>
      <c r="J190" s="15" t="n">
        <v>2</v>
      </c>
      <c r="K190" s="16">
        <f>IF(I190="","",IF(I190="Transactional",3,IF(I190="Commercial",2,1)))</f>
        <v/>
      </c>
      <c r="L190" s="16">
        <f>IF(G190="","",IF(G190&lt;=20,3,IF(G190&lt;=50,2,1)))</f>
        <v/>
      </c>
      <c r="M190" s="16">
        <f>IF(OR(J190="",K190="",L190=""),"",J190+K190+L190)</f>
        <v/>
      </c>
      <c r="N190" s="11" t="inlineStr">
        <is>
          <t>Secondary</t>
        </is>
      </c>
      <c r="O190" s="12" t="inlineStr">
        <is>
          <t>/claude-code-usage-limits</t>
        </is>
      </c>
      <c r="P190" s="12" t="inlineStr">
        <is>
          <t>Interactive guide</t>
        </is>
      </c>
      <c r="Q190" s="14" t="n"/>
      <c r="R190" s="14" t="n"/>
      <c r="S190" s="14" t="n"/>
      <c r="T190" s="12" t="inlineStr">
        <is>
          <t>Not started</t>
        </is>
      </c>
      <c r="U190" s="12" t="inlineStr"/>
    </row>
    <row r="191">
      <c r="A191" s="11" t="n">
        <v>190</v>
      </c>
      <c r="B191" s="12" t="inlineStr">
        <is>
          <t>codex usage dashboard</t>
        </is>
      </c>
      <c r="C191" s="11" t="inlineStr">
        <is>
          <t>SEO</t>
        </is>
      </c>
      <c r="D191" s="12" t="inlineStr">
        <is>
          <t>Google Autocomplete</t>
        </is>
      </c>
      <c r="E191" s="12" t="inlineStr">
        <is>
          <t>Tool: Codex</t>
        </is>
      </c>
      <c r="F191" s="13" t="n"/>
      <c r="G191" s="13" t="n"/>
      <c r="H191" s="14" t="n"/>
      <c r="I191" s="12" t="inlineStr">
        <is>
          <t>Commercial</t>
        </is>
      </c>
      <c r="J191" s="15" t="n">
        <v>3</v>
      </c>
      <c r="K191" s="16">
        <f>IF(I191="","",IF(I191="Transactional",3,IF(I191="Commercial",2,1)))</f>
        <v/>
      </c>
      <c r="L191" s="16">
        <f>IF(G191="","",IF(G191&lt;=20,3,IF(G191&lt;=50,2,1)))</f>
        <v/>
      </c>
      <c r="M191" s="16">
        <f>IF(OR(J191="",K191="",L191=""),"",J191+K191+L191)</f>
        <v/>
      </c>
      <c r="N191" s="11" t="inlineStr">
        <is>
          <t>Secondary</t>
        </is>
      </c>
      <c r="O191" s="12" t="inlineStr">
        <is>
          <t>/integrations/codex</t>
        </is>
      </c>
      <c r="P191" s="12" t="inlineStr">
        <is>
          <t>Integration</t>
        </is>
      </c>
      <c r="Q191" s="14" t="n"/>
      <c r="R191" s="14" t="n"/>
      <c r="S191" s="14" t="n"/>
      <c r="T191" s="12" t="inlineStr">
        <is>
          <t>Not started</t>
        </is>
      </c>
      <c r="U191" s="12" t="inlineStr"/>
    </row>
    <row r="192">
      <c r="A192" s="11" t="n">
        <v>191</v>
      </c>
      <c r="B192" s="12" t="inlineStr">
        <is>
          <t>codex usage tracker</t>
        </is>
      </c>
      <c r="C192" s="11" t="inlineStr">
        <is>
          <t>SEO</t>
        </is>
      </c>
      <c r="D192" s="12" t="inlineStr">
        <is>
          <t>Google Autocomplete</t>
        </is>
      </c>
      <c r="E192" s="12" t="inlineStr">
        <is>
          <t>Tool: Codex</t>
        </is>
      </c>
      <c r="F192" s="13" t="n"/>
      <c r="G192" s="13" t="n"/>
      <c r="H192" s="14" t="n"/>
      <c r="I192" s="12" t="inlineStr">
        <is>
          <t>Commercial</t>
        </is>
      </c>
      <c r="J192" s="15" t="n">
        <v>3</v>
      </c>
      <c r="K192" s="16">
        <f>IF(I192="","",IF(I192="Transactional",3,IF(I192="Commercial",2,1)))</f>
        <v/>
      </c>
      <c r="L192" s="16">
        <f>IF(G192="","",IF(G192&lt;=20,3,IF(G192&lt;=50,2,1)))</f>
        <v/>
      </c>
      <c r="M192" s="16">
        <f>IF(OR(J192="",K192="",L192=""),"",J192+K192+L192)</f>
        <v/>
      </c>
      <c r="N192" s="11" t="inlineStr">
        <is>
          <t>Secondary</t>
        </is>
      </c>
      <c r="O192" s="12" t="inlineStr">
        <is>
          <t>/integrations/codex</t>
        </is>
      </c>
      <c r="P192" s="12" t="inlineStr">
        <is>
          <t>Integration</t>
        </is>
      </c>
      <c r="Q192" s="14" t="n"/>
      <c r="R192" s="14" t="n"/>
      <c r="S192" s="14" t="n"/>
      <c r="T192" s="12" t="inlineStr">
        <is>
          <t>Not started</t>
        </is>
      </c>
      <c r="U192" s="12" t="inlineStr"/>
    </row>
    <row r="193">
      <c r="A193" s="11" t="n">
        <v>192</v>
      </c>
      <c r="B193" s="12" t="inlineStr">
        <is>
          <t>codex usage analytics</t>
        </is>
      </c>
      <c r="C193" s="11" t="inlineStr">
        <is>
          <t>SEO</t>
        </is>
      </c>
      <c r="D193" s="12" t="inlineStr">
        <is>
          <t>Google Autocomplete</t>
        </is>
      </c>
      <c r="E193" s="12" t="inlineStr">
        <is>
          <t>Tool: Codex</t>
        </is>
      </c>
      <c r="F193" s="13" t="n"/>
      <c r="G193" s="13" t="n"/>
      <c r="H193" s="14" t="n"/>
      <c r="I193" s="12" t="inlineStr">
        <is>
          <t>Commercial</t>
        </is>
      </c>
      <c r="J193" s="15" t="n">
        <v>3</v>
      </c>
      <c r="K193" s="16">
        <f>IF(I193="","",IF(I193="Transactional",3,IF(I193="Commercial",2,1)))</f>
        <v/>
      </c>
      <c r="L193" s="16">
        <f>IF(G193="","",IF(G193&lt;=20,3,IF(G193&lt;=50,2,1)))</f>
        <v/>
      </c>
      <c r="M193" s="16">
        <f>IF(OR(J193="",K193="",L193=""),"",J193+K193+L193)</f>
        <v/>
      </c>
      <c r="N193" s="11" t="inlineStr">
        <is>
          <t>Secondary</t>
        </is>
      </c>
      <c r="O193" s="12" t="inlineStr">
        <is>
          <t>/integrations/codex</t>
        </is>
      </c>
      <c r="P193" s="12" t="inlineStr">
        <is>
          <t>Integration</t>
        </is>
      </c>
      <c r="Q193" s="14" t="n"/>
      <c r="R193" s="14" t="n"/>
      <c r="S193" s="14" t="n"/>
      <c r="T193" s="12" t="inlineStr">
        <is>
          <t>Not started</t>
        </is>
      </c>
      <c r="U193" s="12" t="inlineStr"/>
    </row>
    <row r="194">
      <c r="A194" s="11" t="n">
        <v>193</v>
      </c>
      <c r="B194" s="12" t="inlineStr">
        <is>
          <t>codex usage monitor</t>
        </is>
      </c>
      <c r="C194" s="11" t="inlineStr">
        <is>
          <t>SEO</t>
        </is>
      </c>
      <c r="D194" s="12" t="inlineStr">
        <is>
          <t>Google Autocomplete</t>
        </is>
      </c>
      <c r="E194" s="12" t="inlineStr">
        <is>
          <t>Tool: Codex</t>
        </is>
      </c>
      <c r="F194" s="13" t="n"/>
      <c r="G194" s="13" t="n"/>
      <c r="H194" s="14" t="n"/>
      <c r="I194" s="12" t="inlineStr">
        <is>
          <t>Commercial</t>
        </is>
      </c>
      <c r="J194" s="15" t="n">
        <v>3</v>
      </c>
      <c r="K194" s="16">
        <f>IF(I194="","",IF(I194="Transactional",3,IF(I194="Commercial",2,1)))</f>
        <v/>
      </c>
      <c r="L194" s="16">
        <f>IF(G194="","",IF(G194&lt;=20,3,IF(G194&lt;=50,2,1)))</f>
        <v/>
      </c>
      <c r="M194" s="16">
        <f>IF(OR(J194="",K194="",L194=""),"",J194+K194+L194)</f>
        <v/>
      </c>
      <c r="N194" s="11" t="inlineStr">
        <is>
          <t>Secondary</t>
        </is>
      </c>
      <c r="O194" s="12" t="inlineStr">
        <is>
          <t>/integrations/codex</t>
        </is>
      </c>
      <c r="P194" s="12" t="inlineStr">
        <is>
          <t>Integration</t>
        </is>
      </c>
      <c r="Q194" s="14" t="n"/>
      <c r="R194" s="14" t="n"/>
      <c r="S194" s="14" t="n"/>
      <c r="T194" s="12" t="inlineStr">
        <is>
          <t>Not started</t>
        </is>
      </c>
      <c r="U194" s="12" t="inlineStr"/>
    </row>
    <row r="195">
      <c r="A195" s="11" t="n">
        <v>194</v>
      </c>
      <c r="B195" s="12" t="inlineStr">
        <is>
          <t>codex usage metrics</t>
        </is>
      </c>
      <c r="C195" s="11" t="inlineStr">
        <is>
          <t>SEO</t>
        </is>
      </c>
      <c r="D195" s="12" t="inlineStr">
        <is>
          <t>Google Autocomplete</t>
        </is>
      </c>
      <c r="E195" s="12" t="inlineStr">
        <is>
          <t>Tool: Codex</t>
        </is>
      </c>
      <c r="F195" s="13" t="n"/>
      <c r="G195" s="13" t="n"/>
      <c r="H195" s="14" t="n"/>
      <c r="I195" s="12" t="inlineStr">
        <is>
          <t>Commercial</t>
        </is>
      </c>
      <c r="J195" s="15" t="n">
        <v>3</v>
      </c>
      <c r="K195" s="16">
        <f>IF(I195="","",IF(I195="Transactional",3,IF(I195="Commercial",2,1)))</f>
        <v/>
      </c>
      <c r="L195" s="16">
        <f>IF(G195="","",IF(G195&lt;=20,3,IF(G195&lt;=50,2,1)))</f>
        <v/>
      </c>
      <c r="M195" s="16">
        <f>IF(OR(J195="",K195="",L195=""),"",J195+K195+L195)</f>
        <v/>
      </c>
      <c r="N195" s="11" t="inlineStr">
        <is>
          <t>Secondary</t>
        </is>
      </c>
      <c r="O195" s="12" t="inlineStr">
        <is>
          <t>/integrations/codex</t>
        </is>
      </c>
      <c r="P195" s="12" t="inlineStr">
        <is>
          <t>Integration</t>
        </is>
      </c>
      <c r="Q195" s="14" t="n"/>
      <c r="R195" s="14" t="n"/>
      <c r="S195" s="14" t="n"/>
      <c r="T195" s="12" t="inlineStr">
        <is>
          <t>Not started</t>
        </is>
      </c>
      <c r="U195" s="12" t="inlineStr"/>
    </row>
    <row r="196">
      <c r="A196" s="11" t="n">
        <v>195</v>
      </c>
      <c r="B196" s="12" t="inlineStr">
        <is>
          <t>codex usage stats</t>
        </is>
      </c>
      <c r="C196" s="11" t="inlineStr">
        <is>
          <t>SEO</t>
        </is>
      </c>
      <c r="D196" s="12" t="inlineStr">
        <is>
          <t>Google Autocomplete</t>
        </is>
      </c>
      <c r="E196" s="12" t="inlineStr">
        <is>
          <t>Tool: Codex</t>
        </is>
      </c>
      <c r="F196" s="13" t="n"/>
      <c r="G196" s="13" t="n"/>
      <c r="H196" s="14" t="n"/>
      <c r="I196" s="12" t="inlineStr">
        <is>
          <t>Commercial</t>
        </is>
      </c>
      <c r="J196" s="15" t="n">
        <v>3</v>
      </c>
      <c r="K196" s="16">
        <f>IF(I196="","",IF(I196="Transactional",3,IF(I196="Commercial",2,1)))</f>
        <v/>
      </c>
      <c r="L196" s="16">
        <f>IF(G196="","",IF(G196&lt;=20,3,IF(G196&lt;=50,2,1)))</f>
        <v/>
      </c>
      <c r="M196" s="16">
        <f>IF(OR(J196="",K196="",L196=""),"",J196+K196+L196)</f>
        <v/>
      </c>
      <c r="N196" s="11" t="inlineStr">
        <is>
          <t>Secondary</t>
        </is>
      </c>
      <c r="O196" s="12" t="inlineStr">
        <is>
          <t>/integrations/codex</t>
        </is>
      </c>
      <c r="P196" s="12" t="inlineStr">
        <is>
          <t>Integration</t>
        </is>
      </c>
      <c r="Q196" s="14" t="n"/>
      <c r="R196" s="14" t="n"/>
      <c r="S196" s="14" t="n"/>
      <c r="T196" s="12" t="inlineStr">
        <is>
          <t>Not started</t>
        </is>
      </c>
      <c r="U196" s="12" t="inlineStr"/>
    </row>
    <row r="197">
      <c r="A197" s="11" t="n">
        <v>196</v>
      </c>
      <c r="B197" s="12" t="inlineStr">
        <is>
          <t>how to track codex usage</t>
        </is>
      </c>
      <c r="C197" s="11" t="inlineStr">
        <is>
          <t>SEO</t>
        </is>
      </c>
      <c r="D197" s="12" t="inlineStr">
        <is>
          <t>Google Autocomplete</t>
        </is>
      </c>
      <c r="E197" s="12" t="inlineStr">
        <is>
          <t>Tool: Codex</t>
        </is>
      </c>
      <c r="F197" s="13" t="n"/>
      <c r="G197" s="13" t="n"/>
      <c r="H197" s="14" t="n"/>
      <c r="I197" s="12" t="inlineStr">
        <is>
          <t>Informational</t>
        </is>
      </c>
      <c r="J197" s="15" t="n">
        <v>2</v>
      </c>
      <c r="K197" s="16">
        <f>IF(I197="","",IF(I197="Transactional",3,IF(I197="Commercial",2,1)))</f>
        <v/>
      </c>
      <c r="L197" s="16">
        <f>IF(G197="","",IF(G197&lt;=20,3,IF(G197&lt;=50,2,1)))</f>
        <v/>
      </c>
      <c r="M197" s="16">
        <f>IF(OR(J197="",K197="",L197=""),"",J197+K197+L197)</f>
        <v/>
      </c>
      <c r="N197" s="11" t="inlineStr">
        <is>
          <t>Secondary</t>
        </is>
      </c>
      <c r="O197" s="12" t="inlineStr">
        <is>
          <t>/integrations/codex</t>
        </is>
      </c>
      <c r="P197" s="12" t="inlineStr">
        <is>
          <t>Integration</t>
        </is>
      </c>
      <c r="Q197" s="14" t="n"/>
      <c r="R197" s="14" t="n"/>
      <c r="S197" s="14" t="n"/>
      <c r="T197" s="12" t="inlineStr">
        <is>
          <t>Not started</t>
        </is>
      </c>
      <c r="U197" s="12" t="inlineStr"/>
    </row>
    <row r="198">
      <c r="A198" s="11" t="n">
        <v>197</v>
      </c>
      <c r="B198" s="12" t="inlineStr">
        <is>
          <t>how to check codex usage</t>
        </is>
      </c>
      <c r="C198" s="11" t="inlineStr">
        <is>
          <t>SEO</t>
        </is>
      </c>
      <c r="D198" s="12" t="inlineStr">
        <is>
          <t>Google Autocomplete</t>
        </is>
      </c>
      <c r="E198" s="12" t="inlineStr">
        <is>
          <t>Tool: Codex</t>
        </is>
      </c>
      <c r="F198" s="13" t="n"/>
      <c r="G198" s="13" t="n"/>
      <c r="H198" s="14" t="n"/>
      <c r="I198" s="12" t="inlineStr">
        <is>
          <t>Informational</t>
        </is>
      </c>
      <c r="J198" s="15" t="n">
        <v>2</v>
      </c>
      <c r="K198" s="16">
        <f>IF(I198="","",IF(I198="Transactional",3,IF(I198="Commercial",2,1)))</f>
        <v/>
      </c>
      <c r="L198" s="16">
        <f>IF(G198="","",IF(G198&lt;=20,3,IF(G198&lt;=50,2,1)))</f>
        <v/>
      </c>
      <c r="M198" s="16">
        <f>IF(OR(J198="",K198="",L198=""),"",J198+K198+L198)</f>
        <v/>
      </c>
      <c r="N198" s="11" t="inlineStr">
        <is>
          <t>Secondary</t>
        </is>
      </c>
      <c r="O198" s="12" t="inlineStr">
        <is>
          <t>/integrations/codex</t>
        </is>
      </c>
      <c r="P198" s="12" t="inlineStr">
        <is>
          <t>Integration</t>
        </is>
      </c>
      <c r="Q198" s="14" t="n"/>
      <c r="R198" s="14" t="n"/>
      <c r="S198" s="14" t="n"/>
      <c r="T198" s="12" t="inlineStr">
        <is>
          <t>Not started</t>
        </is>
      </c>
      <c r="U198" s="12" t="inlineStr"/>
    </row>
    <row r="199">
      <c r="A199" s="11" t="n">
        <v>198</v>
      </c>
      <c r="B199" s="12" t="inlineStr">
        <is>
          <t>codex usage weekly limit</t>
        </is>
      </c>
      <c r="C199" s="11" t="inlineStr">
        <is>
          <t>SEO</t>
        </is>
      </c>
      <c r="D199" s="12" t="inlineStr">
        <is>
          <t>Google Autocomplete</t>
        </is>
      </c>
      <c r="E199" s="12" t="inlineStr">
        <is>
          <t>Tool: Codex</t>
        </is>
      </c>
      <c r="F199" s="13" t="n"/>
      <c r="G199" s="13" t="n"/>
      <c r="H199" s="14" t="n"/>
      <c r="I199" s="12" t="inlineStr">
        <is>
          <t>Informational</t>
        </is>
      </c>
      <c r="J199" s="15" t="n">
        <v>2</v>
      </c>
      <c r="K199" s="16">
        <f>IF(I199="","",IF(I199="Transactional",3,IF(I199="Commercial",2,1)))</f>
        <v/>
      </c>
      <c r="L199" s="16">
        <f>IF(G199="","",IF(G199&lt;=20,3,IF(G199&lt;=50,2,1)))</f>
        <v/>
      </c>
      <c r="M199" s="16">
        <f>IF(OR(J199="",K199="",L199=""),"",J199+K199+L199)</f>
        <v/>
      </c>
      <c r="N199" s="11" t="inlineStr">
        <is>
          <t>Secondary</t>
        </is>
      </c>
      <c r="O199" s="12" t="inlineStr">
        <is>
          <t>/integrations/codex</t>
        </is>
      </c>
      <c r="P199" s="12" t="inlineStr">
        <is>
          <t>Integration</t>
        </is>
      </c>
      <c r="Q199" s="14" t="n"/>
      <c r="R199" s="14" t="n"/>
      <c r="S199" s="14" t="n"/>
      <c r="T199" s="12" t="inlineStr">
        <is>
          <t>Not started</t>
        </is>
      </c>
      <c r="U199" s="12" t="inlineStr"/>
    </row>
    <row r="200">
      <c r="A200" s="11" t="n">
        <v>199</v>
      </c>
      <c r="B200" s="12" t="inlineStr">
        <is>
          <t>gemini cli usage dashboard</t>
        </is>
      </c>
      <c r="C200" s="11" t="inlineStr">
        <is>
          <t>SEO</t>
        </is>
      </c>
      <c r="D200" s="12" t="inlineStr">
        <is>
          <t>Google Autocomplete</t>
        </is>
      </c>
      <c r="E200" s="12" t="inlineStr">
        <is>
          <t>Tool: Gemini CLI</t>
        </is>
      </c>
      <c r="F200" s="13" t="n"/>
      <c r="G200" s="13" t="n"/>
      <c r="H200" s="14" t="n"/>
      <c r="I200" s="12" t="inlineStr">
        <is>
          <t>Commercial</t>
        </is>
      </c>
      <c r="J200" s="15" t="n">
        <v>3</v>
      </c>
      <c r="K200" s="16">
        <f>IF(I200="","",IF(I200="Transactional",3,IF(I200="Commercial",2,1)))</f>
        <v/>
      </c>
      <c r="L200" s="16">
        <f>IF(G200="","",IF(G200&lt;=20,3,IF(G200&lt;=50,2,1)))</f>
        <v/>
      </c>
      <c r="M200" s="16">
        <f>IF(OR(J200="",K200="",L200=""),"",J200+K200+L200)</f>
        <v/>
      </c>
      <c r="N200" s="11" t="inlineStr">
        <is>
          <t>Secondary</t>
        </is>
      </c>
      <c r="O200" s="12" t="inlineStr">
        <is>
          <t>/integrations/gemini-cli</t>
        </is>
      </c>
      <c r="P200" s="12" t="inlineStr">
        <is>
          <t>Integration</t>
        </is>
      </c>
      <c r="Q200" s="14" t="n"/>
      <c r="R200" s="14" t="n"/>
      <c r="S200" s="14" t="n"/>
      <c r="T200" s="12" t="inlineStr">
        <is>
          <t>Not started</t>
        </is>
      </c>
      <c r="U200" s="12" t="inlineStr"/>
    </row>
    <row r="201">
      <c r="A201" s="11" t="n">
        <v>200</v>
      </c>
      <c r="B201" s="12" t="inlineStr">
        <is>
          <t>gemini cli usage tracker</t>
        </is>
      </c>
      <c r="C201" s="11" t="inlineStr">
        <is>
          <t>SEO</t>
        </is>
      </c>
      <c r="D201" s="12" t="inlineStr">
        <is>
          <t>Google Autocomplete</t>
        </is>
      </c>
      <c r="E201" s="12" t="inlineStr">
        <is>
          <t>Tool: Gemini CLI</t>
        </is>
      </c>
      <c r="F201" s="13" t="n"/>
      <c r="G201" s="13" t="n"/>
      <c r="H201" s="14" t="n"/>
      <c r="I201" s="12" t="inlineStr">
        <is>
          <t>Commercial</t>
        </is>
      </c>
      <c r="J201" s="15" t="n">
        <v>3</v>
      </c>
      <c r="K201" s="16">
        <f>IF(I201="","",IF(I201="Transactional",3,IF(I201="Commercial",2,1)))</f>
        <v/>
      </c>
      <c r="L201" s="16">
        <f>IF(G201="","",IF(G201&lt;=20,3,IF(G201&lt;=50,2,1)))</f>
        <v/>
      </c>
      <c r="M201" s="16">
        <f>IF(OR(J201="",K201="",L201=""),"",J201+K201+L201)</f>
        <v/>
      </c>
      <c r="N201" s="11" t="inlineStr">
        <is>
          <t>Secondary</t>
        </is>
      </c>
      <c r="O201" s="12" t="inlineStr">
        <is>
          <t>/integrations/gemini-cli</t>
        </is>
      </c>
      <c r="P201" s="12" t="inlineStr">
        <is>
          <t>Integration</t>
        </is>
      </c>
      <c r="Q201" s="14" t="n"/>
      <c r="R201" s="14" t="n"/>
      <c r="S201" s="14" t="n"/>
      <c r="T201" s="12" t="inlineStr">
        <is>
          <t>Not started</t>
        </is>
      </c>
      <c r="U201" s="12" t="inlineStr"/>
    </row>
    <row r="202">
      <c r="A202" s="11" t="n">
        <v>201</v>
      </c>
      <c r="B202" s="12" t="inlineStr">
        <is>
          <t>gemini cli usage monitor</t>
        </is>
      </c>
      <c r="C202" s="11" t="inlineStr">
        <is>
          <t>SEO</t>
        </is>
      </c>
      <c r="D202" s="12" t="inlineStr">
        <is>
          <t>Google Autocomplete</t>
        </is>
      </c>
      <c r="E202" s="12" t="inlineStr">
        <is>
          <t>Tool: Gemini CLI</t>
        </is>
      </c>
      <c r="F202" s="13" t="n"/>
      <c r="G202" s="13" t="n"/>
      <c r="H202" s="14" t="n"/>
      <c r="I202" s="12" t="inlineStr">
        <is>
          <t>Commercial</t>
        </is>
      </c>
      <c r="J202" s="15" t="n">
        <v>3</v>
      </c>
      <c r="K202" s="16">
        <f>IF(I202="","",IF(I202="Transactional",3,IF(I202="Commercial",2,1)))</f>
        <v/>
      </c>
      <c r="L202" s="16">
        <f>IF(G202="","",IF(G202&lt;=20,3,IF(G202&lt;=50,2,1)))</f>
        <v/>
      </c>
      <c r="M202" s="16">
        <f>IF(OR(J202="",K202="",L202=""),"",J202+K202+L202)</f>
        <v/>
      </c>
      <c r="N202" s="11" t="inlineStr">
        <is>
          <t>Secondary</t>
        </is>
      </c>
      <c r="O202" s="12" t="inlineStr">
        <is>
          <t>/integrations/gemini-cli</t>
        </is>
      </c>
      <c r="P202" s="12" t="inlineStr">
        <is>
          <t>Integration</t>
        </is>
      </c>
      <c r="Q202" s="14" t="n"/>
      <c r="R202" s="14" t="n"/>
      <c r="S202" s="14" t="n"/>
      <c r="T202" s="12" t="inlineStr">
        <is>
          <t>Not started</t>
        </is>
      </c>
      <c r="U202" s="12" t="inlineStr"/>
    </row>
    <row r="203">
      <c r="A203" s="11" t="n">
        <v>202</v>
      </c>
      <c r="B203" s="12" t="inlineStr">
        <is>
          <t>gemini cli usage stats</t>
        </is>
      </c>
      <c r="C203" s="11" t="inlineStr">
        <is>
          <t>SEO</t>
        </is>
      </c>
      <c r="D203" s="12" t="inlineStr">
        <is>
          <t>Google Autocomplete</t>
        </is>
      </c>
      <c r="E203" s="12" t="inlineStr">
        <is>
          <t>Tool: Gemini CLI</t>
        </is>
      </c>
      <c r="F203" s="13" t="n"/>
      <c r="G203" s="13" t="n"/>
      <c r="H203" s="14" t="n"/>
      <c r="I203" s="12" t="inlineStr">
        <is>
          <t>Commercial</t>
        </is>
      </c>
      <c r="J203" s="15" t="n">
        <v>3</v>
      </c>
      <c r="K203" s="16">
        <f>IF(I203="","",IF(I203="Transactional",3,IF(I203="Commercial",2,1)))</f>
        <v/>
      </c>
      <c r="L203" s="16">
        <f>IF(G203="","",IF(G203&lt;=20,3,IF(G203&lt;=50,2,1)))</f>
        <v/>
      </c>
      <c r="M203" s="16">
        <f>IF(OR(J203="",K203="",L203=""),"",J203+K203+L203)</f>
        <v/>
      </c>
      <c r="N203" s="11" t="inlineStr">
        <is>
          <t>Secondary</t>
        </is>
      </c>
      <c r="O203" s="12" t="inlineStr">
        <is>
          <t>/integrations/gemini-cli</t>
        </is>
      </c>
      <c r="P203" s="12" t="inlineStr">
        <is>
          <t>Integration</t>
        </is>
      </c>
      <c r="Q203" s="14" t="n"/>
      <c r="R203" s="14" t="n"/>
      <c r="S203" s="14" t="n"/>
      <c r="T203" s="12" t="inlineStr">
        <is>
          <t>Not started</t>
        </is>
      </c>
      <c r="U203" s="12" t="inlineStr"/>
    </row>
    <row r="204">
      <c r="A204" s="11" t="n">
        <v>203</v>
      </c>
      <c r="B204" s="12" t="inlineStr">
        <is>
          <t>how to track gemini cli usage</t>
        </is>
      </c>
      <c r="C204" s="11" t="inlineStr">
        <is>
          <t>SEO</t>
        </is>
      </c>
      <c r="D204" s="12" t="inlineStr">
        <is>
          <t>Google Autocomplete</t>
        </is>
      </c>
      <c r="E204" s="12" t="inlineStr">
        <is>
          <t>Tool: Gemini CLI</t>
        </is>
      </c>
      <c r="F204" s="13" t="n"/>
      <c r="G204" s="13" t="n"/>
      <c r="H204" s="14" t="n"/>
      <c r="I204" s="12" t="inlineStr">
        <is>
          <t>Informational</t>
        </is>
      </c>
      <c r="J204" s="15" t="n">
        <v>2</v>
      </c>
      <c r="K204" s="16">
        <f>IF(I204="","",IF(I204="Transactional",3,IF(I204="Commercial",2,1)))</f>
        <v/>
      </c>
      <c r="L204" s="16">
        <f>IF(G204="","",IF(G204&lt;=20,3,IF(G204&lt;=50,2,1)))</f>
        <v/>
      </c>
      <c r="M204" s="16">
        <f>IF(OR(J204="",K204="",L204=""),"",J204+K204+L204)</f>
        <v/>
      </c>
      <c r="N204" s="11" t="inlineStr">
        <is>
          <t>Secondary</t>
        </is>
      </c>
      <c r="O204" s="12" t="inlineStr">
        <is>
          <t>/integrations/gemini-cli</t>
        </is>
      </c>
      <c r="P204" s="12" t="inlineStr">
        <is>
          <t>Integration</t>
        </is>
      </c>
      <c r="Q204" s="14" t="n"/>
      <c r="R204" s="14" t="n"/>
      <c r="S204" s="14" t="n"/>
      <c r="T204" s="12" t="inlineStr">
        <is>
          <t>Not started</t>
        </is>
      </c>
      <c r="U204" s="12" t="inlineStr"/>
    </row>
    <row r="205">
      <c r="A205" s="11" t="n">
        <v>204</v>
      </c>
      <c r="B205" s="12" t="inlineStr">
        <is>
          <t>how to check gemini cli usage</t>
        </is>
      </c>
      <c r="C205" s="11" t="inlineStr">
        <is>
          <t>SEO</t>
        </is>
      </c>
      <c r="D205" s="12" t="inlineStr">
        <is>
          <t>Google Autocomplete</t>
        </is>
      </c>
      <c r="E205" s="12" t="inlineStr">
        <is>
          <t>Tool: Gemini CLI</t>
        </is>
      </c>
      <c r="F205" s="13" t="n"/>
      <c r="G205" s="13" t="n"/>
      <c r="H205" s="14" t="n"/>
      <c r="I205" s="12" t="inlineStr">
        <is>
          <t>Informational</t>
        </is>
      </c>
      <c r="J205" s="15" t="n">
        <v>2</v>
      </c>
      <c r="K205" s="16">
        <f>IF(I205="","",IF(I205="Transactional",3,IF(I205="Commercial",2,1)))</f>
        <v/>
      </c>
      <c r="L205" s="16">
        <f>IF(G205="","",IF(G205&lt;=20,3,IF(G205&lt;=50,2,1)))</f>
        <v/>
      </c>
      <c r="M205" s="16">
        <f>IF(OR(J205="",K205="",L205=""),"",J205+K205+L205)</f>
        <v/>
      </c>
      <c r="N205" s="11" t="inlineStr">
        <is>
          <t>Secondary</t>
        </is>
      </c>
      <c r="O205" s="12" t="inlineStr">
        <is>
          <t>/integrations/gemini-cli</t>
        </is>
      </c>
      <c r="P205" s="12" t="inlineStr">
        <is>
          <t>Integration</t>
        </is>
      </c>
      <c r="Q205" s="14" t="n"/>
      <c r="R205" s="14" t="n"/>
      <c r="S205" s="14" t="n"/>
      <c r="T205" s="12" t="inlineStr">
        <is>
          <t>Not started</t>
        </is>
      </c>
      <c r="U205" s="12" t="inlineStr"/>
    </row>
    <row r="206">
      <c r="A206" s="11" t="n">
        <v>205</v>
      </c>
      <c r="B206" s="12" t="inlineStr">
        <is>
          <t>gemini cli view token usage</t>
        </is>
      </c>
      <c r="C206" s="11" t="inlineStr">
        <is>
          <t>SEO</t>
        </is>
      </c>
      <c r="D206" s="12" t="inlineStr">
        <is>
          <t>Google Autocomplete</t>
        </is>
      </c>
      <c r="E206" s="12" t="inlineStr">
        <is>
          <t>Tool: Gemini CLI</t>
        </is>
      </c>
      <c r="F206" s="13" t="n"/>
      <c r="G206" s="13" t="n"/>
      <c r="H206" s="14" t="n"/>
      <c r="I206" s="12" t="inlineStr">
        <is>
          <t>Informational</t>
        </is>
      </c>
      <c r="J206" s="15" t="n">
        <v>2</v>
      </c>
      <c r="K206" s="16">
        <f>IF(I206="","",IF(I206="Transactional",3,IF(I206="Commercial",2,1)))</f>
        <v/>
      </c>
      <c r="L206" s="16">
        <f>IF(G206="","",IF(G206&lt;=20,3,IF(G206&lt;=50,2,1)))</f>
        <v/>
      </c>
      <c r="M206" s="16">
        <f>IF(OR(J206="",K206="",L206=""),"",J206+K206+L206)</f>
        <v/>
      </c>
      <c r="N206" s="11" t="inlineStr">
        <is>
          <t>Secondary</t>
        </is>
      </c>
      <c r="O206" s="12" t="inlineStr">
        <is>
          <t>/integrations/gemini-cli</t>
        </is>
      </c>
      <c r="P206" s="12" t="inlineStr">
        <is>
          <t>Integration</t>
        </is>
      </c>
      <c r="Q206" s="14" t="n"/>
      <c r="R206" s="14" t="n"/>
      <c r="S206" s="14" t="n"/>
      <c r="T206" s="12" t="inlineStr">
        <is>
          <t>Not started</t>
        </is>
      </c>
      <c r="U206" s="12" t="inlineStr"/>
    </row>
    <row r="207">
      <c r="A207" s="11" t="n">
        <v>206</v>
      </c>
      <c r="B207" s="12" t="inlineStr">
        <is>
          <t>cursor team analytics</t>
        </is>
      </c>
      <c r="C207" s="11" t="inlineStr">
        <is>
          <t>SEO</t>
        </is>
      </c>
      <c r="D207" s="12" t="inlineStr">
        <is>
          <t>Google Autocomplete</t>
        </is>
      </c>
      <c r="E207" s="12" t="inlineStr">
        <is>
          <t>Tool: Cursor</t>
        </is>
      </c>
      <c r="F207" s="13" t="n"/>
      <c r="G207" s="13" t="n"/>
      <c r="H207" s="14" t="n"/>
      <c r="I207" s="12" t="inlineStr">
        <is>
          <t>Commercial</t>
        </is>
      </c>
      <c r="J207" s="15" t="n">
        <v>3</v>
      </c>
      <c r="K207" s="16">
        <f>IF(I207="","",IF(I207="Transactional",3,IF(I207="Commercial",2,1)))</f>
        <v/>
      </c>
      <c r="L207" s="16">
        <f>IF(G207="","",IF(G207&lt;=20,3,IF(G207&lt;=50,2,1)))</f>
        <v/>
      </c>
      <c r="M207" s="16">
        <f>IF(OR(J207="",K207="",L207=""),"",J207+K207+L207)</f>
        <v/>
      </c>
      <c r="N207" s="11" t="inlineStr">
        <is>
          <t>Secondary</t>
        </is>
      </c>
      <c r="O207" s="12" t="inlineStr">
        <is>
          <t>/integrations/cursor</t>
        </is>
      </c>
      <c r="P207" s="12" t="inlineStr">
        <is>
          <t>Integration</t>
        </is>
      </c>
      <c r="Q207" s="14" t="n"/>
      <c r="R207" s="14" t="n"/>
      <c r="S207" s="14" t="n"/>
      <c r="T207" s="12" t="inlineStr">
        <is>
          <t>Not started</t>
        </is>
      </c>
      <c r="U207" s="12" t="inlineStr"/>
    </row>
    <row r="208">
      <c r="A208" s="11" t="n">
        <v>207</v>
      </c>
      <c r="B208" s="12" t="inlineStr">
        <is>
          <t>cursor team usage dashboard</t>
        </is>
      </c>
      <c r="C208" s="11" t="inlineStr">
        <is>
          <t>SEO</t>
        </is>
      </c>
      <c r="D208" s="12" t="inlineStr">
        <is>
          <t>Google Autocomplete</t>
        </is>
      </c>
      <c r="E208" s="12" t="inlineStr">
        <is>
          <t>Tool: Cursor</t>
        </is>
      </c>
      <c r="F208" s="13" t="n"/>
      <c r="G208" s="13" t="n"/>
      <c r="H208" s="14" t="n"/>
      <c r="I208" s="12" t="inlineStr">
        <is>
          <t>Commercial</t>
        </is>
      </c>
      <c r="J208" s="15" t="n">
        <v>3</v>
      </c>
      <c r="K208" s="16">
        <f>IF(I208="","",IF(I208="Transactional",3,IF(I208="Commercial",2,1)))</f>
        <v/>
      </c>
      <c r="L208" s="16">
        <f>IF(G208="","",IF(G208&lt;=20,3,IF(G208&lt;=50,2,1)))</f>
        <v/>
      </c>
      <c r="M208" s="16">
        <f>IF(OR(J208="",K208="",L208=""),"",J208+K208+L208)</f>
        <v/>
      </c>
      <c r="N208" s="11" t="inlineStr">
        <is>
          <t>Secondary</t>
        </is>
      </c>
      <c r="O208" s="12" t="inlineStr">
        <is>
          <t>/integrations/cursor</t>
        </is>
      </c>
      <c r="P208" s="12" t="inlineStr">
        <is>
          <t>Integration</t>
        </is>
      </c>
      <c r="Q208" s="14" t="n"/>
      <c r="R208" s="14" t="n"/>
      <c r="S208" s="14" t="n"/>
      <c r="T208" s="12" t="inlineStr">
        <is>
          <t>Not started</t>
        </is>
      </c>
      <c r="U208" s="12" t="inlineStr"/>
    </row>
    <row r="209">
      <c r="A209" s="11" t="n">
        <v>208</v>
      </c>
      <c r="B209" s="12" t="inlineStr">
        <is>
          <t>cursor team admin dashboard</t>
        </is>
      </c>
      <c r="C209" s="11" t="inlineStr">
        <is>
          <t>SEO</t>
        </is>
      </c>
      <c r="D209" s="12" t="inlineStr">
        <is>
          <t>Google Autocomplete</t>
        </is>
      </c>
      <c r="E209" s="12" t="inlineStr">
        <is>
          <t>Tool: Cursor</t>
        </is>
      </c>
      <c r="F209" s="13" t="n"/>
      <c r="G209" s="13" t="n"/>
      <c r="H209" s="14" t="n"/>
      <c r="I209" s="12" t="inlineStr">
        <is>
          <t>Commercial</t>
        </is>
      </c>
      <c r="J209" s="15" t="n">
        <v>3</v>
      </c>
      <c r="K209" s="16">
        <f>IF(I209="","",IF(I209="Transactional",3,IF(I209="Commercial",2,1)))</f>
        <v/>
      </c>
      <c r="L209" s="16">
        <f>IF(G209="","",IF(G209&lt;=20,3,IF(G209&lt;=50,2,1)))</f>
        <v/>
      </c>
      <c r="M209" s="16">
        <f>IF(OR(J209="",K209="",L209=""),"",J209+K209+L209)</f>
        <v/>
      </c>
      <c r="N209" s="11" t="inlineStr">
        <is>
          <t>Secondary</t>
        </is>
      </c>
      <c r="O209" s="12" t="inlineStr">
        <is>
          <t>/integrations/cursor</t>
        </is>
      </c>
      <c r="P209" s="12" t="inlineStr">
        <is>
          <t>Integration</t>
        </is>
      </c>
      <c r="Q209" s="14" t="n"/>
      <c r="R209" s="14" t="n"/>
      <c r="S209" s="14" t="n"/>
      <c r="T209" s="12" t="inlineStr">
        <is>
          <t>Not started</t>
        </is>
      </c>
      <c r="U209" s="12" t="inlineStr"/>
    </row>
    <row r="210">
      <c r="A210" s="11" t="n">
        <v>209</v>
      </c>
      <c r="B210" s="12" t="inlineStr">
        <is>
          <t>cursor team spend</t>
        </is>
      </c>
      <c r="C210" s="11" t="inlineStr">
        <is>
          <t>SEO</t>
        </is>
      </c>
      <c r="D210" s="12" t="inlineStr">
        <is>
          <t>Google Autocomplete</t>
        </is>
      </c>
      <c r="E210" s="12" t="inlineStr">
        <is>
          <t>Tool: Cursor</t>
        </is>
      </c>
      <c r="F210" s="13" t="n"/>
      <c r="G210" s="13" t="n"/>
      <c r="H210" s="14" t="n"/>
      <c r="I210" s="12" t="inlineStr">
        <is>
          <t>Commercial</t>
        </is>
      </c>
      <c r="J210" s="15" t="n">
        <v>3</v>
      </c>
      <c r="K210" s="16">
        <f>IF(I210="","",IF(I210="Transactional",3,IF(I210="Commercial",2,1)))</f>
        <v/>
      </c>
      <c r="L210" s="16">
        <f>IF(G210="","",IF(G210&lt;=20,3,IF(G210&lt;=50,2,1)))</f>
        <v/>
      </c>
      <c r="M210" s="16">
        <f>IF(OR(J210="",K210="",L210=""),"",J210+K210+L210)</f>
        <v/>
      </c>
      <c r="N210" s="11" t="inlineStr">
        <is>
          <t>Secondary</t>
        </is>
      </c>
      <c r="O210" s="12" t="inlineStr">
        <is>
          <t>/integrations/cursor</t>
        </is>
      </c>
      <c r="P210" s="12" t="inlineStr">
        <is>
          <t>Integration</t>
        </is>
      </c>
      <c r="Q210" s="14" t="n"/>
      <c r="R210" s="14" t="n"/>
      <c r="S210" s="14" t="n"/>
      <c r="T210" s="12" t="inlineStr">
        <is>
          <t>Not started</t>
        </is>
      </c>
      <c r="U210" s="12" t="inlineStr"/>
    </row>
    <row r="211">
      <c r="A211" s="11" t="n">
        <v>210</v>
      </c>
      <c r="B211" s="12" t="inlineStr">
        <is>
          <t>cursor usage analytics</t>
        </is>
      </c>
      <c r="C211" s="11" t="inlineStr">
        <is>
          <t>SEO</t>
        </is>
      </c>
      <c r="D211" s="12" t="inlineStr">
        <is>
          <t>Google Autocomplete</t>
        </is>
      </c>
      <c r="E211" s="12" t="inlineStr">
        <is>
          <t>Tool: Cursor</t>
        </is>
      </c>
      <c r="F211" s="13" t="n"/>
      <c r="G211" s="13" t="n"/>
      <c r="H211" s="14" t="n"/>
      <c r="I211" s="12" t="inlineStr">
        <is>
          <t>Commercial</t>
        </is>
      </c>
      <c r="J211" s="15" t="n">
        <v>3</v>
      </c>
      <c r="K211" s="16">
        <f>IF(I211="","",IF(I211="Transactional",3,IF(I211="Commercial",2,1)))</f>
        <v/>
      </c>
      <c r="L211" s="16">
        <f>IF(G211="","",IF(G211&lt;=20,3,IF(G211&lt;=50,2,1)))</f>
        <v/>
      </c>
      <c r="M211" s="16">
        <f>IF(OR(J211="",K211="",L211=""),"",J211+K211+L211)</f>
        <v/>
      </c>
      <c r="N211" s="11" t="inlineStr">
        <is>
          <t>Secondary</t>
        </is>
      </c>
      <c r="O211" s="12" t="inlineStr">
        <is>
          <t>/integrations/cursor</t>
        </is>
      </c>
      <c r="P211" s="12" t="inlineStr">
        <is>
          <t>Integration</t>
        </is>
      </c>
      <c r="Q211" s="14" t="n"/>
      <c r="R211" s="14" t="n"/>
      <c r="S211" s="14" t="n"/>
      <c r="T211" s="12" t="inlineStr">
        <is>
          <t>Not started</t>
        </is>
      </c>
      <c r="U211" s="12" t="inlineStr"/>
    </row>
    <row r="212">
      <c r="A212" s="11" t="n">
        <v>211</v>
      </c>
      <c r="B212" s="12" t="inlineStr">
        <is>
          <t>cursor usage tracker</t>
        </is>
      </c>
      <c r="C212" s="11" t="inlineStr">
        <is>
          <t>SEO</t>
        </is>
      </c>
      <c r="D212" s="12" t="inlineStr">
        <is>
          <t>Google Autocomplete</t>
        </is>
      </c>
      <c r="E212" s="12" t="inlineStr">
        <is>
          <t>Tool: Cursor</t>
        </is>
      </c>
      <c r="F212" s="13" t="n"/>
      <c r="G212" s="13" t="n"/>
      <c r="H212" s="14" t="n"/>
      <c r="I212" s="12" t="inlineStr">
        <is>
          <t>Commercial</t>
        </is>
      </c>
      <c r="J212" s="15" t="n">
        <v>3</v>
      </c>
      <c r="K212" s="16">
        <f>IF(I212="","",IF(I212="Transactional",3,IF(I212="Commercial",2,1)))</f>
        <v/>
      </c>
      <c r="L212" s="16">
        <f>IF(G212="","",IF(G212&lt;=20,3,IF(G212&lt;=50,2,1)))</f>
        <v/>
      </c>
      <c r="M212" s="16">
        <f>IF(OR(J212="",K212="",L212=""),"",J212+K212+L212)</f>
        <v/>
      </c>
      <c r="N212" s="11" t="inlineStr">
        <is>
          <t>Secondary</t>
        </is>
      </c>
      <c r="O212" s="12" t="inlineStr">
        <is>
          <t>/integrations/cursor</t>
        </is>
      </c>
      <c r="P212" s="12" t="inlineStr">
        <is>
          <t>Integration</t>
        </is>
      </c>
      <c r="Q212" s="14" t="n"/>
      <c r="R212" s="14" t="n"/>
      <c r="S212" s="14" t="n"/>
      <c r="T212" s="12" t="inlineStr">
        <is>
          <t>Not started</t>
        </is>
      </c>
      <c r="U212" s="12" t="inlineStr"/>
    </row>
    <row r="213">
      <c r="A213" s="11" t="n">
        <v>212</v>
      </c>
      <c r="B213" s="12" t="inlineStr">
        <is>
          <t>cursor usage metrics</t>
        </is>
      </c>
      <c r="C213" s="11" t="inlineStr">
        <is>
          <t>SEO</t>
        </is>
      </c>
      <c r="D213" s="12" t="inlineStr">
        <is>
          <t>Google Autocomplete</t>
        </is>
      </c>
      <c r="E213" s="12" t="inlineStr">
        <is>
          <t>Tool: Cursor</t>
        </is>
      </c>
      <c r="F213" s="13" t="n"/>
      <c r="G213" s="13" t="n"/>
      <c r="H213" s="14" t="n"/>
      <c r="I213" s="12" t="inlineStr">
        <is>
          <t>Commercial</t>
        </is>
      </c>
      <c r="J213" s="15" t="n">
        <v>3</v>
      </c>
      <c r="K213" s="16">
        <f>IF(I213="","",IF(I213="Transactional",3,IF(I213="Commercial",2,1)))</f>
        <v/>
      </c>
      <c r="L213" s="16">
        <f>IF(G213="","",IF(G213&lt;=20,3,IF(G213&lt;=50,2,1)))</f>
        <v/>
      </c>
      <c r="M213" s="16">
        <f>IF(OR(J213="",K213="",L213=""),"",J213+K213+L213)</f>
        <v/>
      </c>
      <c r="N213" s="11" t="inlineStr">
        <is>
          <t>Secondary</t>
        </is>
      </c>
      <c r="O213" s="12" t="inlineStr">
        <is>
          <t>/integrations/cursor</t>
        </is>
      </c>
      <c r="P213" s="12" t="inlineStr">
        <is>
          <t>Integration</t>
        </is>
      </c>
      <c r="Q213" s="14" t="n"/>
      <c r="R213" s="14" t="n"/>
      <c r="S213" s="14" t="n"/>
      <c r="T213" s="12" t="inlineStr">
        <is>
          <t>Not started</t>
        </is>
      </c>
      <c r="U213" s="12" t="inlineStr"/>
    </row>
    <row r="214">
      <c r="A214" s="11" t="n">
        <v>213</v>
      </c>
      <c r="B214" s="12" t="inlineStr">
        <is>
          <t>cursor usage report</t>
        </is>
      </c>
      <c r="C214" s="11" t="inlineStr">
        <is>
          <t>SEO</t>
        </is>
      </c>
      <c r="D214" s="12" t="inlineStr">
        <is>
          <t>Google Autocomplete</t>
        </is>
      </c>
      <c r="E214" s="12" t="inlineStr">
        <is>
          <t>Tool: Cursor</t>
        </is>
      </c>
      <c r="F214" s="13" t="n"/>
      <c r="G214" s="13" t="n"/>
      <c r="H214" s="14" t="n"/>
      <c r="I214" s="12" t="inlineStr">
        <is>
          <t>Commercial</t>
        </is>
      </c>
      <c r="J214" s="15" t="n">
        <v>3</v>
      </c>
      <c r="K214" s="16">
        <f>IF(I214="","",IF(I214="Transactional",3,IF(I214="Commercial",2,1)))</f>
        <v/>
      </c>
      <c r="L214" s="16">
        <f>IF(G214="","",IF(G214&lt;=20,3,IF(G214&lt;=50,2,1)))</f>
        <v/>
      </c>
      <c r="M214" s="16">
        <f>IF(OR(J214="",K214="",L214=""),"",J214+K214+L214)</f>
        <v/>
      </c>
      <c r="N214" s="11" t="inlineStr">
        <is>
          <t>Secondary</t>
        </is>
      </c>
      <c r="O214" s="12" t="inlineStr">
        <is>
          <t>/integrations/cursor</t>
        </is>
      </c>
      <c r="P214" s="12" t="inlineStr">
        <is>
          <t>Integration</t>
        </is>
      </c>
      <c r="Q214" s="14" t="n"/>
      <c r="R214" s="14" t="n"/>
      <c r="S214" s="14" t="n"/>
      <c r="T214" s="12" t="inlineStr">
        <is>
          <t>Not started</t>
        </is>
      </c>
      <c r="U214" s="12" t="inlineStr"/>
    </row>
    <row r="215">
      <c r="A215" s="11" t="n">
        <v>214</v>
      </c>
      <c r="B215" s="12" t="inlineStr">
        <is>
          <t>cursor usage statistics</t>
        </is>
      </c>
      <c r="C215" s="11" t="inlineStr">
        <is>
          <t>SEO</t>
        </is>
      </c>
      <c r="D215" s="12" t="inlineStr">
        <is>
          <t>Google Autocomplete</t>
        </is>
      </c>
      <c r="E215" s="12" t="inlineStr">
        <is>
          <t>Tool: Cursor</t>
        </is>
      </c>
      <c r="F215" s="13" t="n"/>
      <c r="G215" s="13" t="n"/>
      <c r="H215" s="14" t="n"/>
      <c r="I215" s="12" t="inlineStr">
        <is>
          <t>Commercial</t>
        </is>
      </c>
      <c r="J215" s="15" t="n">
        <v>3</v>
      </c>
      <c r="K215" s="16">
        <f>IF(I215="","",IF(I215="Transactional",3,IF(I215="Commercial",2,1)))</f>
        <v/>
      </c>
      <c r="L215" s="16">
        <f>IF(G215="","",IF(G215&lt;=20,3,IF(G215&lt;=50,2,1)))</f>
        <v/>
      </c>
      <c r="M215" s="16">
        <f>IF(OR(J215="",K215="",L215=""),"",J215+K215+L215)</f>
        <v/>
      </c>
      <c r="N215" s="11" t="inlineStr">
        <is>
          <t>Secondary</t>
        </is>
      </c>
      <c r="O215" s="12" t="inlineStr">
        <is>
          <t>/integrations/cursor</t>
        </is>
      </c>
      <c r="P215" s="12" t="inlineStr">
        <is>
          <t>Integration</t>
        </is>
      </c>
      <c r="Q215" s="14" t="n"/>
      <c r="R215" s="14" t="n"/>
      <c r="S215" s="14" t="n"/>
      <c r="T215" s="12" t="inlineStr">
        <is>
          <t>Not started</t>
        </is>
      </c>
      <c r="U215" s="12" t="inlineStr"/>
    </row>
    <row r="216">
      <c r="A216" s="11" t="n">
        <v>215</v>
      </c>
      <c r="B216" s="12" t="inlineStr">
        <is>
          <t>cursor view team usage</t>
        </is>
      </c>
      <c r="C216" s="11" t="inlineStr">
        <is>
          <t>SEO</t>
        </is>
      </c>
      <c r="D216" s="12" t="inlineStr">
        <is>
          <t>Google Autocomplete</t>
        </is>
      </c>
      <c r="E216" s="12" t="inlineStr">
        <is>
          <t>Tool: Cursor</t>
        </is>
      </c>
      <c r="F216" s="13" t="n"/>
      <c r="G216" s="13" t="n"/>
      <c r="H216" s="14" t="n"/>
      <c r="I216" s="12" t="inlineStr">
        <is>
          <t>Commercial</t>
        </is>
      </c>
      <c r="J216" s="15" t="n">
        <v>3</v>
      </c>
      <c r="K216" s="16">
        <f>IF(I216="","",IF(I216="Transactional",3,IF(I216="Commercial",2,1)))</f>
        <v/>
      </c>
      <c r="L216" s="16">
        <f>IF(G216="","",IF(G216&lt;=20,3,IF(G216&lt;=50,2,1)))</f>
        <v/>
      </c>
      <c r="M216" s="16">
        <f>IF(OR(J216="",K216="",L216=""),"",J216+K216+L216)</f>
        <v/>
      </c>
      <c r="N216" s="11" t="inlineStr">
        <is>
          <t>Secondary</t>
        </is>
      </c>
      <c r="O216" s="12" t="inlineStr">
        <is>
          <t>/integrations/cursor</t>
        </is>
      </c>
      <c r="P216" s="12" t="inlineStr">
        <is>
          <t>Integration</t>
        </is>
      </c>
      <c r="Q216" s="14" t="n"/>
      <c r="R216" s="14" t="n"/>
      <c r="S216" s="14" t="n"/>
      <c r="T216" s="12" t="inlineStr">
        <is>
          <t>Not started</t>
        </is>
      </c>
      <c r="U216" s="12" t="inlineStr"/>
    </row>
    <row r="217">
      <c r="A217" s="11" t="n">
        <v>216</v>
      </c>
      <c r="B217" s="12" t="inlineStr">
        <is>
          <t>cursor team plan usage limit</t>
        </is>
      </c>
      <c r="C217" s="11" t="inlineStr">
        <is>
          <t>SEO</t>
        </is>
      </c>
      <c r="D217" s="12" t="inlineStr">
        <is>
          <t>Google Autocomplete</t>
        </is>
      </c>
      <c r="E217" s="12" t="inlineStr">
        <is>
          <t>Tool: Cursor</t>
        </is>
      </c>
      <c r="F217" s="13" t="n"/>
      <c r="G217" s="13" t="n"/>
      <c r="H217" s="14" t="n"/>
      <c r="I217" s="12" t="inlineStr">
        <is>
          <t>Commercial</t>
        </is>
      </c>
      <c r="J217" s="15" t="n">
        <v>3</v>
      </c>
      <c r="K217" s="16">
        <f>IF(I217="","",IF(I217="Transactional",3,IF(I217="Commercial",2,1)))</f>
        <v/>
      </c>
      <c r="L217" s="16">
        <f>IF(G217="","",IF(G217&lt;=20,3,IF(G217&lt;=50,2,1)))</f>
        <v/>
      </c>
      <c r="M217" s="16">
        <f>IF(OR(J217="",K217="",L217=""),"",J217+K217+L217)</f>
        <v/>
      </c>
      <c r="N217" s="11" t="inlineStr">
        <is>
          <t>Secondary</t>
        </is>
      </c>
      <c r="O217" s="12" t="inlineStr">
        <is>
          <t>/integrations/cursor</t>
        </is>
      </c>
      <c r="P217" s="12" t="inlineStr">
        <is>
          <t>Integration</t>
        </is>
      </c>
      <c r="Q217" s="14" t="n"/>
      <c r="R217" s="14" t="n"/>
      <c r="S217" s="14" t="n"/>
      <c r="T217" s="12" t="inlineStr">
        <is>
          <t>Not started</t>
        </is>
      </c>
      <c r="U217" s="12" t="inlineStr"/>
    </row>
    <row r="218">
      <c r="A218" s="11" t="n">
        <v>217</v>
      </c>
      <c r="B218" s="12" t="inlineStr">
        <is>
          <t>how to track cursor usage</t>
        </is>
      </c>
      <c r="C218" s="11" t="inlineStr">
        <is>
          <t>SEO</t>
        </is>
      </c>
      <c r="D218" s="12" t="inlineStr">
        <is>
          <t>Google Autocomplete</t>
        </is>
      </c>
      <c r="E218" s="12" t="inlineStr">
        <is>
          <t>Tool: Cursor</t>
        </is>
      </c>
      <c r="F218" s="13" t="n"/>
      <c r="G218" s="13" t="n"/>
      <c r="H218" s="14" t="n"/>
      <c r="I218" s="12" t="inlineStr">
        <is>
          <t>Informational</t>
        </is>
      </c>
      <c r="J218" s="15" t="n">
        <v>2</v>
      </c>
      <c r="K218" s="16">
        <f>IF(I218="","",IF(I218="Transactional",3,IF(I218="Commercial",2,1)))</f>
        <v/>
      </c>
      <c r="L218" s="16">
        <f>IF(G218="","",IF(G218&lt;=20,3,IF(G218&lt;=50,2,1)))</f>
        <v/>
      </c>
      <c r="M218" s="16">
        <f>IF(OR(J218="",K218="",L218=""),"",J218+K218+L218)</f>
        <v/>
      </c>
      <c r="N218" s="11" t="inlineStr">
        <is>
          <t>Secondary</t>
        </is>
      </c>
      <c r="O218" s="12" t="inlineStr">
        <is>
          <t>/integrations/cursor</t>
        </is>
      </c>
      <c r="P218" s="12" t="inlineStr">
        <is>
          <t>Integration</t>
        </is>
      </c>
      <c r="Q218" s="14" t="n"/>
      <c r="R218" s="14" t="n"/>
      <c r="S218" s="14" t="n"/>
      <c r="T218" s="12" t="inlineStr">
        <is>
          <t>Not started</t>
        </is>
      </c>
      <c r="U218" s="12" t="inlineStr"/>
    </row>
    <row r="219">
      <c r="A219" s="11" t="n">
        <v>218</v>
      </c>
      <c r="B219" s="12" t="inlineStr">
        <is>
          <t>how to check cursor usage</t>
        </is>
      </c>
      <c r="C219" s="11" t="inlineStr">
        <is>
          <t>SEO</t>
        </is>
      </c>
      <c r="D219" s="12" t="inlineStr">
        <is>
          <t>Google Autocomplete</t>
        </is>
      </c>
      <c r="E219" s="12" t="inlineStr">
        <is>
          <t>Tool: Cursor</t>
        </is>
      </c>
      <c r="F219" s="13" t="n"/>
      <c r="G219" s="13" t="n"/>
      <c r="H219" s="14" t="n"/>
      <c r="I219" s="12" t="inlineStr">
        <is>
          <t>Informational</t>
        </is>
      </c>
      <c r="J219" s="15" t="n">
        <v>2</v>
      </c>
      <c r="K219" s="16">
        <f>IF(I219="","",IF(I219="Transactional",3,IF(I219="Commercial",2,1)))</f>
        <v/>
      </c>
      <c r="L219" s="16">
        <f>IF(G219="","",IF(G219&lt;=20,3,IF(G219&lt;=50,2,1)))</f>
        <v/>
      </c>
      <c r="M219" s="16">
        <f>IF(OR(J219="",K219="",L219=""),"",J219+K219+L219)</f>
        <v/>
      </c>
      <c r="N219" s="11" t="inlineStr">
        <is>
          <t>Secondary</t>
        </is>
      </c>
      <c r="O219" s="12" t="inlineStr">
        <is>
          <t>/integrations/cursor</t>
        </is>
      </c>
      <c r="P219" s="12" t="inlineStr">
        <is>
          <t>Integration</t>
        </is>
      </c>
      <c r="Q219" s="14" t="n"/>
      <c r="R219" s="14" t="n"/>
      <c r="S219" s="14" t="n"/>
      <c r="T219" s="12" t="inlineStr">
        <is>
          <t>Not started</t>
        </is>
      </c>
      <c r="U219" s="12" t="inlineStr"/>
    </row>
    <row r="220">
      <c r="A220" s="11" t="n">
        <v>219</v>
      </c>
      <c r="B220" s="12" t="inlineStr">
        <is>
          <t>copilot usage per user</t>
        </is>
      </c>
      <c r="C220" s="11" t="inlineStr">
        <is>
          <t>SEO</t>
        </is>
      </c>
      <c r="D220" s="12" t="inlineStr">
        <is>
          <t>Google Autocomplete</t>
        </is>
      </c>
      <c r="E220" s="12" t="inlineStr">
        <is>
          <t>Tool: GitHub Copilot</t>
        </is>
      </c>
      <c r="F220" s="13" t="n"/>
      <c r="G220" s="13" t="n"/>
      <c r="H220" s="14" t="n"/>
      <c r="I220" s="12" t="inlineStr">
        <is>
          <t>Commercial</t>
        </is>
      </c>
      <c r="J220" s="15" t="n">
        <v>3</v>
      </c>
      <c r="K220" s="16">
        <f>IF(I220="","",IF(I220="Transactional",3,IF(I220="Commercial",2,1)))</f>
        <v/>
      </c>
      <c r="L220" s="16">
        <f>IF(G220="","",IF(G220&lt;=20,3,IF(G220&lt;=50,2,1)))</f>
        <v/>
      </c>
      <c r="M220" s="16">
        <f>IF(OR(J220="",K220="",L220=""),"",J220+K220+L220)</f>
        <v/>
      </c>
      <c r="N220" s="11" t="inlineStr">
        <is>
          <t>Secondary</t>
        </is>
      </c>
      <c r="O220" s="12" t="inlineStr">
        <is>
          <t>/integrations/github-copilot</t>
        </is>
      </c>
      <c r="P220" s="12" t="inlineStr">
        <is>
          <t>Integration</t>
        </is>
      </c>
      <c r="Q220" s="14" t="n"/>
      <c r="R220" s="14" t="n"/>
      <c r="S220" s="14" t="n"/>
      <c r="T220" s="12" t="inlineStr">
        <is>
          <t>Not started</t>
        </is>
      </c>
      <c r="U220" s="12" t="inlineStr"/>
    </row>
    <row r="221">
      <c r="A221" s="11" t="n">
        <v>220</v>
      </c>
      <c r="B221" s="12" t="inlineStr">
        <is>
          <t>github copilot metrics per user</t>
        </is>
      </c>
      <c r="C221" s="11" t="inlineStr">
        <is>
          <t>SEO</t>
        </is>
      </c>
      <c r="D221" s="12" t="inlineStr">
        <is>
          <t>Google Autocomplete</t>
        </is>
      </c>
      <c r="E221" s="12" t="inlineStr">
        <is>
          <t>Tool: GitHub Copilot</t>
        </is>
      </c>
      <c r="F221" s="13" t="n"/>
      <c r="G221" s="13" t="n"/>
      <c r="H221" s="14" t="n"/>
      <c r="I221" s="12" t="inlineStr">
        <is>
          <t>Commercial</t>
        </is>
      </c>
      <c r="J221" s="15" t="n">
        <v>3</v>
      </c>
      <c r="K221" s="16">
        <f>IF(I221="","",IF(I221="Transactional",3,IF(I221="Commercial",2,1)))</f>
        <v/>
      </c>
      <c r="L221" s="16">
        <f>IF(G221="","",IF(G221&lt;=20,3,IF(G221&lt;=50,2,1)))</f>
        <v/>
      </c>
      <c r="M221" s="16">
        <f>IF(OR(J221="",K221="",L221=""),"",J221+K221+L221)</f>
        <v/>
      </c>
      <c r="N221" s="11" t="inlineStr">
        <is>
          <t>Secondary</t>
        </is>
      </c>
      <c r="O221" s="12" t="inlineStr">
        <is>
          <t>/integrations/github-copilot</t>
        </is>
      </c>
      <c r="P221" s="12" t="inlineStr">
        <is>
          <t>Integration</t>
        </is>
      </c>
      <c r="Q221" s="14" t="n"/>
      <c r="R221" s="14" t="n"/>
      <c r="S221" s="14" t="n"/>
      <c r="T221" s="12" t="inlineStr">
        <is>
          <t>Not started</t>
        </is>
      </c>
      <c r="U221" s="12" t="inlineStr"/>
    </row>
    <row r="222">
      <c r="A222" s="11" t="n">
        <v>221</v>
      </c>
      <c r="B222" s="12" t="inlineStr">
        <is>
          <t>github copilot metrics by user</t>
        </is>
      </c>
      <c r="C222" s="11" t="inlineStr">
        <is>
          <t>SEO</t>
        </is>
      </c>
      <c r="D222" s="12" t="inlineStr">
        <is>
          <t>Google Autocomplete</t>
        </is>
      </c>
      <c r="E222" s="12" t="inlineStr">
        <is>
          <t>Tool: GitHub Copilot</t>
        </is>
      </c>
      <c r="F222" s="13" t="n"/>
      <c r="G222" s="13" t="n"/>
      <c r="H222" s="14" t="n"/>
      <c r="I222" s="12" t="inlineStr">
        <is>
          <t>Commercial</t>
        </is>
      </c>
      <c r="J222" s="15" t="n">
        <v>3</v>
      </c>
      <c r="K222" s="16">
        <f>IF(I222="","",IF(I222="Transactional",3,IF(I222="Commercial",2,1)))</f>
        <v/>
      </c>
      <c r="L222" s="16">
        <f>IF(G222="","",IF(G222&lt;=20,3,IF(G222&lt;=50,2,1)))</f>
        <v/>
      </c>
      <c r="M222" s="16">
        <f>IF(OR(J222="",K222="",L222=""),"",J222+K222+L222)</f>
        <v/>
      </c>
      <c r="N222" s="11" t="inlineStr">
        <is>
          <t>Secondary</t>
        </is>
      </c>
      <c r="O222" s="12" t="inlineStr">
        <is>
          <t>/integrations/github-copilot</t>
        </is>
      </c>
      <c r="P222" s="12" t="inlineStr">
        <is>
          <t>Integration</t>
        </is>
      </c>
      <c r="Q222" s="14" t="n"/>
      <c r="R222" s="14" t="n"/>
      <c r="S222" s="14" t="n"/>
      <c r="T222" s="12" t="inlineStr">
        <is>
          <t>Not started</t>
        </is>
      </c>
      <c r="U222" s="12" t="inlineStr"/>
    </row>
    <row r="223">
      <c r="A223" s="11" t="n">
        <v>222</v>
      </c>
      <c r="B223" s="12" t="inlineStr">
        <is>
          <t>copilot usage metrics dashboard</t>
        </is>
      </c>
      <c r="C223" s="11" t="inlineStr">
        <is>
          <t>SEO</t>
        </is>
      </c>
      <c r="D223" s="12" t="inlineStr">
        <is>
          <t>Google Autocomplete</t>
        </is>
      </c>
      <c r="E223" s="12" t="inlineStr">
        <is>
          <t>Tool: GitHub Copilot</t>
        </is>
      </c>
      <c r="F223" s="13" t="n"/>
      <c r="G223" s="13" t="n"/>
      <c r="H223" s="14" t="n"/>
      <c r="I223" s="12" t="inlineStr">
        <is>
          <t>Commercial</t>
        </is>
      </c>
      <c r="J223" s="15" t="n">
        <v>3</v>
      </c>
      <c r="K223" s="16">
        <f>IF(I223="","",IF(I223="Transactional",3,IF(I223="Commercial",2,1)))</f>
        <v/>
      </c>
      <c r="L223" s="16">
        <f>IF(G223="","",IF(G223&lt;=20,3,IF(G223&lt;=50,2,1)))</f>
        <v/>
      </c>
      <c r="M223" s="16">
        <f>IF(OR(J223="",K223="",L223=""),"",J223+K223+L223)</f>
        <v/>
      </c>
      <c r="N223" s="11" t="inlineStr">
        <is>
          <t>Secondary</t>
        </is>
      </c>
      <c r="O223" s="12" t="inlineStr">
        <is>
          <t>/integrations/github-copilot</t>
        </is>
      </c>
      <c r="P223" s="12" t="inlineStr">
        <is>
          <t>Integration</t>
        </is>
      </c>
      <c r="Q223" s="14" t="n"/>
      <c r="R223" s="14" t="n"/>
      <c r="S223" s="14" t="n"/>
      <c r="T223" s="12" t="inlineStr">
        <is>
          <t>Not started</t>
        </is>
      </c>
      <c r="U223" s="12" t="inlineStr"/>
    </row>
    <row r="224">
      <c r="A224" s="11" t="n">
        <v>223</v>
      </c>
      <c r="B224" s="12" t="inlineStr">
        <is>
          <t>copilot usage tracking</t>
        </is>
      </c>
      <c r="C224" s="11" t="inlineStr">
        <is>
          <t>SEO</t>
        </is>
      </c>
      <c r="D224" s="12" t="inlineStr">
        <is>
          <t>Google Autocomplete</t>
        </is>
      </c>
      <c r="E224" s="12" t="inlineStr">
        <is>
          <t>Tool: GitHub Copilot</t>
        </is>
      </c>
      <c r="F224" s="13" t="n"/>
      <c r="G224" s="13" t="n"/>
      <c r="H224" s="14" t="n"/>
      <c r="I224" s="12" t="inlineStr">
        <is>
          <t>Commercial</t>
        </is>
      </c>
      <c r="J224" s="15" t="n">
        <v>3</v>
      </c>
      <c r="K224" s="16">
        <f>IF(I224="","",IF(I224="Transactional",3,IF(I224="Commercial",2,1)))</f>
        <v/>
      </c>
      <c r="L224" s="16">
        <f>IF(G224="","",IF(G224&lt;=20,3,IF(G224&lt;=50,2,1)))</f>
        <v/>
      </c>
      <c r="M224" s="16">
        <f>IF(OR(J224="",K224="",L224=""),"",J224+K224+L224)</f>
        <v/>
      </c>
      <c r="N224" s="11" t="inlineStr">
        <is>
          <t>Secondary</t>
        </is>
      </c>
      <c r="O224" s="12" t="inlineStr">
        <is>
          <t>/integrations/github-copilot</t>
        </is>
      </c>
      <c r="P224" s="12" t="inlineStr">
        <is>
          <t>Integration</t>
        </is>
      </c>
      <c r="Q224" s="14" t="n"/>
      <c r="R224" s="14" t="n"/>
      <c r="S224" s="14" t="n"/>
      <c r="T224" s="12" t="inlineStr">
        <is>
          <t>Not started</t>
        </is>
      </c>
      <c r="U224" s="12" t="inlineStr"/>
    </row>
    <row r="225">
      <c r="A225" s="11" t="n">
        <v>224</v>
      </c>
      <c r="B225" s="12" t="inlineStr">
        <is>
          <t>copilot usage monitoring</t>
        </is>
      </c>
      <c r="C225" s="11" t="inlineStr">
        <is>
          <t>SEO</t>
        </is>
      </c>
      <c r="D225" s="12" t="inlineStr">
        <is>
          <t>Google Autocomplete</t>
        </is>
      </c>
      <c r="E225" s="12" t="inlineStr">
        <is>
          <t>Tool: GitHub Copilot</t>
        </is>
      </c>
      <c r="F225" s="13" t="n"/>
      <c r="G225" s="13" t="n"/>
      <c r="H225" s="14" t="n"/>
      <c r="I225" s="12" t="inlineStr">
        <is>
          <t>Commercial</t>
        </is>
      </c>
      <c r="J225" s="15" t="n">
        <v>3</v>
      </c>
      <c r="K225" s="16">
        <f>IF(I225="","",IF(I225="Transactional",3,IF(I225="Commercial",2,1)))</f>
        <v/>
      </c>
      <c r="L225" s="16">
        <f>IF(G225="","",IF(G225&lt;=20,3,IF(G225&lt;=50,2,1)))</f>
        <v/>
      </c>
      <c r="M225" s="16">
        <f>IF(OR(J225="",K225="",L225=""),"",J225+K225+L225)</f>
        <v/>
      </c>
      <c r="N225" s="11" t="inlineStr">
        <is>
          <t>Secondary</t>
        </is>
      </c>
      <c r="O225" s="12" t="inlineStr">
        <is>
          <t>/integrations/github-copilot</t>
        </is>
      </c>
      <c r="P225" s="12" t="inlineStr">
        <is>
          <t>Integration</t>
        </is>
      </c>
      <c r="Q225" s="14" t="n"/>
      <c r="R225" s="14" t="n"/>
      <c r="S225" s="14" t="n"/>
      <c r="T225" s="12" t="inlineStr">
        <is>
          <t>Not started</t>
        </is>
      </c>
      <c r="U225" s="12" t="inlineStr"/>
    </row>
    <row r="226">
      <c r="A226" s="11" t="n">
        <v>225</v>
      </c>
      <c r="B226" s="12" t="inlineStr">
        <is>
          <t>copilot adoption metrics</t>
        </is>
      </c>
      <c r="C226" s="11" t="inlineStr">
        <is>
          <t>SEO</t>
        </is>
      </c>
      <c r="D226" s="12" t="inlineStr">
        <is>
          <t>Google Autocomplete</t>
        </is>
      </c>
      <c r="E226" s="12" t="inlineStr">
        <is>
          <t>Tool: GitHub Copilot</t>
        </is>
      </c>
      <c r="F226" s="13" t="n"/>
      <c r="G226" s="13" t="n"/>
      <c r="H226" s="14" t="n"/>
      <c r="I226" s="12" t="inlineStr">
        <is>
          <t>Commercial</t>
        </is>
      </c>
      <c r="J226" s="15" t="n">
        <v>3</v>
      </c>
      <c r="K226" s="16">
        <f>IF(I226="","",IF(I226="Transactional",3,IF(I226="Commercial",2,1)))</f>
        <v/>
      </c>
      <c r="L226" s="16">
        <f>IF(G226="","",IF(G226&lt;=20,3,IF(G226&lt;=50,2,1)))</f>
        <v/>
      </c>
      <c r="M226" s="16">
        <f>IF(OR(J226="",K226="",L226=""),"",J226+K226+L226)</f>
        <v/>
      </c>
      <c r="N226" s="11" t="inlineStr">
        <is>
          <t>Secondary</t>
        </is>
      </c>
      <c r="O226" s="12" t="inlineStr">
        <is>
          <t>/integrations/github-copilot</t>
        </is>
      </c>
      <c r="P226" s="12" t="inlineStr">
        <is>
          <t>Integration</t>
        </is>
      </c>
      <c r="Q226" s="14" t="n"/>
      <c r="R226" s="14" t="n"/>
      <c r="S226" s="14" t="n"/>
      <c r="T226" s="12" t="inlineStr">
        <is>
          <t>Not started</t>
        </is>
      </c>
      <c r="U226" s="12" t="inlineStr"/>
    </row>
    <row r="227">
      <c r="A227" s="11" t="n">
        <v>226</v>
      </c>
      <c r="B227" s="12" t="inlineStr">
        <is>
          <t>copilot productivity metrics</t>
        </is>
      </c>
      <c r="C227" s="11" t="inlineStr">
        <is>
          <t>SEO</t>
        </is>
      </c>
      <c r="D227" s="12" t="inlineStr">
        <is>
          <t>Google Autocomplete</t>
        </is>
      </c>
      <c r="E227" s="12" t="inlineStr">
        <is>
          <t>Tool: GitHub Copilot</t>
        </is>
      </c>
      <c r="F227" s="13" t="n"/>
      <c r="G227" s="13" t="n"/>
      <c r="H227" s="14" t="n"/>
      <c r="I227" s="12" t="inlineStr">
        <is>
          <t>Commercial</t>
        </is>
      </c>
      <c r="J227" s="15" t="n">
        <v>3</v>
      </c>
      <c r="K227" s="16">
        <f>IF(I227="","",IF(I227="Transactional",3,IF(I227="Commercial",2,1)))</f>
        <v/>
      </c>
      <c r="L227" s="16">
        <f>IF(G227="","",IF(G227&lt;=20,3,IF(G227&lt;=50,2,1)))</f>
        <v/>
      </c>
      <c r="M227" s="16">
        <f>IF(OR(J227="",K227="",L227=""),"",J227+K227+L227)</f>
        <v/>
      </c>
      <c r="N227" s="11" t="inlineStr">
        <is>
          <t>Secondary</t>
        </is>
      </c>
      <c r="O227" s="12" t="inlineStr">
        <is>
          <t>/integrations/github-copilot</t>
        </is>
      </c>
      <c r="P227" s="12" t="inlineStr">
        <is>
          <t>Integration</t>
        </is>
      </c>
      <c r="Q227" s="14" t="n"/>
      <c r="R227" s="14" t="n"/>
      <c r="S227" s="14" t="n"/>
      <c r="T227" s="12" t="inlineStr">
        <is>
          <t>Not started</t>
        </is>
      </c>
      <c r="U227" s="12" t="inlineStr"/>
    </row>
    <row r="228">
      <c r="A228" s="11" t="n">
        <v>227</v>
      </c>
      <c r="B228" s="12" t="inlineStr">
        <is>
          <t>copilot impact metrics dashboard</t>
        </is>
      </c>
      <c r="C228" s="11" t="inlineStr">
        <is>
          <t>SEO</t>
        </is>
      </c>
      <c r="D228" s="12" t="inlineStr">
        <is>
          <t>Google Autocomplete</t>
        </is>
      </c>
      <c r="E228" s="12" t="inlineStr">
        <is>
          <t>Tool: GitHub Copilot</t>
        </is>
      </c>
      <c r="F228" s="13" t="n"/>
      <c r="G228" s="13" t="n"/>
      <c r="H228" s="14" t="n"/>
      <c r="I228" s="12" t="inlineStr">
        <is>
          <t>Commercial</t>
        </is>
      </c>
      <c r="J228" s="15" t="n">
        <v>3</v>
      </c>
      <c r="K228" s="16">
        <f>IF(I228="","",IF(I228="Transactional",3,IF(I228="Commercial",2,1)))</f>
        <v/>
      </c>
      <c r="L228" s="16">
        <f>IF(G228="","",IF(G228&lt;=20,3,IF(G228&lt;=50,2,1)))</f>
        <v/>
      </c>
      <c r="M228" s="16">
        <f>IF(OR(J228="",K228="",L228=""),"",J228+K228+L228)</f>
        <v/>
      </c>
      <c r="N228" s="11" t="inlineStr">
        <is>
          <t>Secondary</t>
        </is>
      </c>
      <c r="O228" s="12" t="inlineStr">
        <is>
          <t>/integrations/github-copilot</t>
        </is>
      </c>
      <c r="P228" s="12" t="inlineStr">
        <is>
          <t>Integration</t>
        </is>
      </c>
      <c r="Q228" s="14" t="n"/>
      <c r="R228" s="14" t="n"/>
      <c r="S228" s="14" t="n"/>
      <c r="T228" s="12" t="inlineStr">
        <is>
          <t>Not started</t>
        </is>
      </c>
      <c r="U228" s="12" t="inlineStr"/>
    </row>
    <row r="229">
      <c r="A229" s="11" t="n">
        <v>228</v>
      </c>
      <c r="B229" s="12" t="inlineStr">
        <is>
          <t>copilot metrics dashboard</t>
        </is>
      </c>
      <c r="C229" s="11" t="inlineStr">
        <is>
          <t>SEO</t>
        </is>
      </c>
      <c r="D229" s="12" t="inlineStr">
        <is>
          <t>Google Autocomplete</t>
        </is>
      </c>
      <c r="E229" s="12" t="inlineStr">
        <is>
          <t>Tool: GitHub Copilot</t>
        </is>
      </c>
      <c r="F229" s="13" t="n"/>
      <c r="G229" s="13" t="n"/>
      <c r="H229" s="14" t="n"/>
      <c r="I229" s="12" t="inlineStr">
        <is>
          <t>Commercial</t>
        </is>
      </c>
      <c r="J229" s="15" t="n">
        <v>3</v>
      </c>
      <c r="K229" s="16">
        <f>IF(I229="","",IF(I229="Transactional",3,IF(I229="Commercial",2,1)))</f>
        <v/>
      </c>
      <c r="L229" s="16">
        <f>IF(G229="","",IF(G229&lt;=20,3,IF(G229&lt;=50,2,1)))</f>
        <v/>
      </c>
      <c r="M229" s="16">
        <f>IF(OR(J229="",K229="",L229=""),"",J229+K229+L229)</f>
        <v/>
      </c>
      <c r="N229" s="11" t="inlineStr">
        <is>
          <t>Secondary</t>
        </is>
      </c>
      <c r="O229" s="12" t="inlineStr">
        <is>
          <t>/integrations/github-copilot</t>
        </is>
      </c>
      <c r="P229" s="12" t="inlineStr">
        <is>
          <t>Integration</t>
        </is>
      </c>
      <c r="Q229" s="14" t="n"/>
      <c r="R229" s="14" t="n"/>
      <c r="S229" s="14" t="n"/>
      <c r="T229" s="12" t="inlineStr">
        <is>
          <t>Not started</t>
        </is>
      </c>
      <c r="U229" s="12" t="inlineStr"/>
    </row>
    <row r="230">
      <c r="A230" s="11" t="n">
        <v>229</v>
      </c>
      <c r="B230" s="12" t="inlineStr">
        <is>
          <t>copilot usage reports</t>
        </is>
      </c>
      <c r="C230" s="11" t="inlineStr">
        <is>
          <t>SEO</t>
        </is>
      </c>
      <c r="D230" s="12" t="inlineStr">
        <is>
          <t>Google Autocomplete</t>
        </is>
      </c>
      <c r="E230" s="12" t="inlineStr">
        <is>
          <t>Tool: GitHub Copilot</t>
        </is>
      </c>
      <c r="F230" s="13" t="n"/>
      <c r="G230" s="13" t="n"/>
      <c r="H230" s="14" t="n"/>
      <c r="I230" s="12" t="inlineStr">
        <is>
          <t>Commercial</t>
        </is>
      </c>
      <c r="J230" s="15" t="n">
        <v>3</v>
      </c>
      <c r="K230" s="16">
        <f>IF(I230="","",IF(I230="Transactional",3,IF(I230="Commercial",2,1)))</f>
        <v/>
      </c>
      <c r="L230" s="16">
        <f>IF(G230="","",IF(G230&lt;=20,3,IF(G230&lt;=50,2,1)))</f>
        <v/>
      </c>
      <c r="M230" s="16">
        <f>IF(OR(J230="",K230="",L230=""),"",J230+K230+L230)</f>
        <v/>
      </c>
      <c r="N230" s="11" t="inlineStr">
        <is>
          <t>Secondary</t>
        </is>
      </c>
      <c r="O230" s="12" t="inlineStr">
        <is>
          <t>/integrations/github-copilot</t>
        </is>
      </c>
      <c r="P230" s="12" t="inlineStr">
        <is>
          <t>Integration</t>
        </is>
      </c>
      <c r="Q230" s="14" t="n"/>
      <c r="R230" s="14" t="n"/>
      <c r="S230" s="14" t="n"/>
      <c r="T230" s="12" t="inlineStr">
        <is>
          <t>Not started</t>
        </is>
      </c>
      <c r="U230" s="12" t="inlineStr"/>
    </row>
    <row r="231">
      <c r="A231" s="11" t="n">
        <v>230</v>
      </c>
      <c r="B231" s="12" t="inlineStr">
        <is>
          <t>github copilot team metrics</t>
        </is>
      </c>
      <c r="C231" s="11" t="inlineStr">
        <is>
          <t>SEO</t>
        </is>
      </c>
      <c r="D231" s="12" t="inlineStr">
        <is>
          <t>Google Autocomplete</t>
        </is>
      </c>
      <c r="E231" s="12" t="inlineStr">
        <is>
          <t>Tool: GitHub Copilot</t>
        </is>
      </c>
      <c r="F231" s="13" t="n"/>
      <c r="G231" s="13" t="n"/>
      <c r="H231" s="14" t="n"/>
      <c r="I231" s="12" t="inlineStr">
        <is>
          <t>Commercial</t>
        </is>
      </c>
      <c r="J231" s="15" t="n">
        <v>3</v>
      </c>
      <c r="K231" s="16">
        <f>IF(I231="","",IF(I231="Transactional",3,IF(I231="Commercial",2,1)))</f>
        <v/>
      </c>
      <c r="L231" s="16">
        <f>IF(G231="","",IF(G231&lt;=20,3,IF(G231&lt;=50,2,1)))</f>
        <v/>
      </c>
      <c r="M231" s="16">
        <f>IF(OR(J231="",K231="",L231=""),"",J231+K231+L231)</f>
        <v/>
      </c>
      <c r="N231" s="11" t="inlineStr">
        <is>
          <t>Secondary</t>
        </is>
      </c>
      <c r="O231" s="12" t="inlineStr">
        <is>
          <t>/integrations/github-copilot</t>
        </is>
      </c>
      <c r="P231" s="12" t="inlineStr">
        <is>
          <t>Integration</t>
        </is>
      </c>
      <c r="Q231" s="14" t="n"/>
      <c r="R231" s="14" t="n"/>
      <c r="S231" s="14" t="n"/>
      <c r="T231" s="12" t="inlineStr">
        <is>
          <t>Not started</t>
        </is>
      </c>
      <c r="U231" s="12" t="inlineStr"/>
    </row>
    <row r="232">
      <c r="A232" s="11" t="n">
        <v>231</v>
      </c>
      <c r="B232" s="12" t="inlineStr">
        <is>
          <t>github copilot organization metrics</t>
        </is>
      </c>
      <c r="C232" s="11" t="inlineStr">
        <is>
          <t>SEO</t>
        </is>
      </c>
      <c r="D232" s="12" t="inlineStr">
        <is>
          <t>Google Autocomplete</t>
        </is>
      </c>
      <c r="E232" s="12" t="inlineStr">
        <is>
          <t>Tool: GitHub Copilot</t>
        </is>
      </c>
      <c r="F232" s="13" t="n"/>
      <c r="G232" s="13" t="n"/>
      <c r="H232" s="14" t="n"/>
      <c r="I232" s="12" t="inlineStr">
        <is>
          <t>Commercial</t>
        </is>
      </c>
      <c r="J232" s="15" t="n">
        <v>3</v>
      </c>
      <c r="K232" s="16">
        <f>IF(I232="","",IF(I232="Transactional",3,IF(I232="Commercial",2,1)))</f>
        <v/>
      </c>
      <c r="L232" s="16">
        <f>IF(G232="","",IF(G232&lt;=20,3,IF(G232&lt;=50,2,1)))</f>
        <v/>
      </c>
      <c r="M232" s="16">
        <f>IF(OR(J232="",K232="",L232=""),"",J232+K232+L232)</f>
        <v/>
      </c>
      <c r="N232" s="11" t="inlineStr">
        <is>
          <t>Secondary</t>
        </is>
      </c>
      <c r="O232" s="12" t="inlineStr">
        <is>
          <t>/integrations/github-copilot</t>
        </is>
      </c>
      <c r="P232" s="12" t="inlineStr">
        <is>
          <t>Integration</t>
        </is>
      </c>
      <c r="Q232" s="14" t="n"/>
      <c r="R232" s="14" t="n"/>
      <c r="S232" s="14" t="n"/>
      <c r="T232" s="12" t="inlineStr">
        <is>
          <t>Not started</t>
        </is>
      </c>
      <c r="U232" s="12" t="inlineStr"/>
    </row>
    <row r="233">
      <c r="A233" s="11" t="n">
        <v>232</v>
      </c>
      <c r="B233" s="12" t="inlineStr">
        <is>
          <t>can company track copilot usage</t>
        </is>
      </c>
      <c r="C233" s="11" t="inlineStr">
        <is>
          <t>SEO</t>
        </is>
      </c>
      <c r="D233" s="12" t="inlineStr">
        <is>
          <t>Google Autocomplete</t>
        </is>
      </c>
      <c r="E233" s="12" t="inlineStr">
        <is>
          <t>Tool: GitHub Copilot</t>
        </is>
      </c>
      <c r="F233" s="13" t="n"/>
      <c r="G233" s="13" t="n"/>
      <c r="H233" s="14" t="n"/>
      <c r="I233" s="12" t="inlineStr">
        <is>
          <t>Commercial</t>
        </is>
      </c>
      <c r="J233" s="15" t="n">
        <v>3</v>
      </c>
      <c r="K233" s="16">
        <f>IF(I233="","",IF(I233="Transactional",3,IF(I233="Commercial",2,1)))</f>
        <v/>
      </c>
      <c r="L233" s="16">
        <f>IF(G233="","",IF(G233&lt;=20,3,IF(G233&lt;=50,2,1)))</f>
        <v/>
      </c>
      <c r="M233" s="16">
        <f>IF(OR(J233="",K233="",L233=""),"",J233+K233+L233)</f>
        <v/>
      </c>
      <c r="N233" s="11" t="inlineStr">
        <is>
          <t>Secondary</t>
        </is>
      </c>
      <c r="O233" s="12" t="inlineStr">
        <is>
          <t>/integrations/github-copilot</t>
        </is>
      </c>
      <c r="P233" s="12" t="inlineStr">
        <is>
          <t>Integration</t>
        </is>
      </c>
      <c r="Q233" s="14" t="n"/>
      <c r="R233" s="14" t="n"/>
      <c r="S233" s="14" t="n"/>
      <c r="T233" s="12" t="inlineStr">
        <is>
          <t>Not started</t>
        </is>
      </c>
      <c r="U233" s="12" t="inlineStr"/>
    </row>
    <row r="234">
      <c r="A234" s="11" t="n">
        <v>233</v>
      </c>
      <c r="B234" s="12" t="inlineStr">
        <is>
          <t>how to track copilot usage</t>
        </is>
      </c>
      <c r="C234" s="11" t="inlineStr">
        <is>
          <t>SEO</t>
        </is>
      </c>
      <c r="D234" s="12" t="inlineStr">
        <is>
          <t>Google Autocomplete</t>
        </is>
      </c>
      <c r="E234" s="12" t="inlineStr">
        <is>
          <t>Tool: GitHub Copilot</t>
        </is>
      </c>
      <c r="F234" s="13" t="n"/>
      <c r="G234" s="13" t="n"/>
      <c r="H234" s="14" t="n"/>
      <c r="I234" s="12" t="inlineStr">
        <is>
          <t>Informational</t>
        </is>
      </c>
      <c r="J234" s="15" t="n">
        <v>2</v>
      </c>
      <c r="K234" s="16">
        <f>IF(I234="","",IF(I234="Transactional",3,IF(I234="Commercial",2,1)))</f>
        <v/>
      </c>
      <c r="L234" s="16">
        <f>IF(G234="","",IF(G234&lt;=20,3,IF(G234&lt;=50,2,1)))</f>
        <v/>
      </c>
      <c r="M234" s="16">
        <f>IF(OR(J234="",K234="",L234=""),"",J234+K234+L234)</f>
        <v/>
      </c>
      <c r="N234" s="11" t="inlineStr">
        <is>
          <t>Secondary</t>
        </is>
      </c>
      <c r="O234" s="12" t="inlineStr">
        <is>
          <t>/integrations/github-copilot</t>
        </is>
      </c>
      <c r="P234" s="12" t="inlineStr">
        <is>
          <t>Integration</t>
        </is>
      </c>
      <c r="Q234" s="14" t="n"/>
      <c r="R234" s="14" t="n"/>
      <c r="S234" s="14" t="n"/>
      <c r="T234" s="12" t="inlineStr">
        <is>
          <t>Not started</t>
        </is>
      </c>
      <c r="U234" s="12" t="inlineStr"/>
    </row>
    <row r="235">
      <c r="A235" s="11" t="n">
        <v>234</v>
      </c>
      <c r="B235" s="12" t="inlineStr">
        <is>
          <t>how to monitor copilot usage</t>
        </is>
      </c>
      <c r="C235" s="11" t="inlineStr">
        <is>
          <t>SEO</t>
        </is>
      </c>
      <c r="D235" s="12" t="inlineStr">
        <is>
          <t>Google Autocomplete</t>
        </is>
      </c>
      <c r="E235" s="12" t="inlineStr">
        <is>
          <t>Tool: GitHub Copilot</t>
        </is>
      </c>
      <c r="F235" s="13" t="n"/>
      <c r="G235" s="13" t="n"/>
      <c r="H235" s="14" t="n"/>
      <c r="I235" s="12" t="inlineStr">
        <is>
          <t>Informational</t>
        </is>
      </c>
      <c r="J235" s="15" t="n">
        <v>2</v>
      </c>
      <c r="K235" s="16">
        <f>IF(I235="","",IF(I235="Transactional",3,IF(I235="Commercial",2,1)))</f>
        <v/>
      </c>
      <c r="L235" s="16">
        <f>IF(G235="","",IF(G235&lt;=20,3,IF(G235&lt;=50,2,1)))</f>
        <v/>
      </c>
      <c r="M235" s="16">
        <f>IF(OR(J235="",K235="",L235=""),"",J235+K235+L235)</f>
        <v/>
      </c>
      <c r="N235" s="11" t="inlineStr">
        <is>
          <t>Secondary</t>
        </is>
      </c>
      <c r="O235" s="12" t="inlineStr">
        <is>
          <t>/integrations/github-copilot</t>
        </is>
      </c>
      <c r="P235" s="12" t="inlineStr">
        <is>
          <t>Integration</t>
        </is>
      </c>
      <c r="Q235" s="14" t="n"/>
      <c r="R235" s="14" t="n"/>
      <c r="S235" s="14" t="n"/>
      <c r="T235" s="12" t="inlineStr">
        <is>
          <t>Not started</t>
        </is>
      </c>
      <c r="U235" s="12" t="inlineStr"/>
    </row>
    <row r="236">
      <c r="A236" s="11" t="n">
        <v>235</v>
      </c>
      <c r="B236" s="12" t="inlineStr">
        <is>
          <t>copilot metrics api</t>
        </is>
      </c>
      <c r="C236" s="11" t="inlineStr">
        <is>
          <t>SEO</t>
        </is>
      </c>
      <c r="D236" s="12" t="inlineStr">
        <is>
          <t>Google Autocomplete</t>
        </is>
      </c>
      <c r="E236" s="12" t="inlineStr">
        <is>
          <t>Tool: GitHub Copilot</t>
        </is>
      </c>
      <c r="F236" s="13" t="n"/>
      <c r="G236" s="13" t="n"/>
      <c r="H236" s="14" t="n"/>
      <c r="I236" s="12" t="inlineStr">
        <is>
          <t>Commercial</t>
        </is>
      </c>
      <c r="J236" s="15" t="n">
        <v>2</v>
      </c>
      <c r="K236" s="16">
        <f>IF(I236="","",IF(I236="Transactional",3,IF(I236="Commercial",2,1)))</f>
        <v/>
      </c>
      <c r="L236" s="16">
        <f>IF(G236="","",IF(G236&lt;=20,3,IF(G236&lt;=50,2,1)))</f>
        <v/>
      </c>
      <c r="M236" s="16">
        <f>IF(OR(J236="",K236="",L236=""),"",J236+K236+L236)</f>
        <v/>
      </c>
      <c r="N236" s="11" t="inlineStr">
        <is>
          <t>Secondary</t>
        </is>
      </c>
      <c r="O236" s="12" t="inlineStr">
        <is>
          <t>/docs</t>
        </is>
      </c>
      <c r="P236" s="12" t="inlineStr">
        <is>
          <t>Docs</t>
        </is>
      </c>
      <c r="Q236" s="14" t="n"/>
      <c r="R236" s="14" t="n"/>
      <c r="S236" s="14" t="n"/>
      <c r="T236" s="12" t="inlineStr">
        <is>
          <t>Not started</t>
        </is>
      </c>
      <c r="U236" s="12" t="inlineStr">
        <is>
          <t>GitHub's own API; we add the cross-tool view</t>
        </is>
      </c>
    </row>
    <row r="237">
      <c r="A237" s="11" t="n">
        <v>236</v>
      </c>
      <c r="B237" s="12" t="inlineStr">
        <is>
          <t>copilot metrics viewer</t>
        </is>
      </c>
      <c r="C237" s="11" t="inlineStr">
        <is>
          <t>SEO</t>
        </is>
      </c>
      <c r="D237" s="12" t="inlineStr">
        <is>
          <t>Google Autocomplete</t>
        </is>
      </c>
      <c r="E237" s="12" t="inlineStr">
        <is>
          <t>Competitor</t>
        </is>
      </c>
      <c r="F237" s="13" t="n"/>
      <c r="G237" s="13" t="n"/>
      <c r="H237" s="14" t="n"/>
      <c r="I237" s="12" t="inlineStr">
        <is>
          <t>Commercial</t>
        </is>
      </c>
      <c r="J237" s="15" t="n">
        <v>2</v>
      </c>
      <c r="K237" s="16">
        <f>IF(I237="","",IF(I237="Transactional",3,IF(I237="Commercial",2,1)))</f>
        <v/>
      </c>
      <c r="L237" s="16">
        <f>IF(G237="","",IF(G237&lt;=20,3,IF(G237&lt;=50,2,1)))</f>
        <v/>
      </c>
      <c r="M237" s="16">
        <f>IF(OR(J237="",K237="",L237=""),"",J237+K237+L237)</f>
        <v/>
      </c>
      <c r="N237" s="11" t="inlineStr">
        <is>
          <t>Main</t>
        </is>
      </c>
      <c r="O237" s="12" t="inlineStr">
        <is>
          <t>/compare/github-copilot-metrics</t>
        </is>
      </c>
      <c r="P237" s="12" t="inlineStr">
        <is>
          <t>Compare</t>
        </is>
      </c>
      <c r="Q237" s="14" t="n"/>
      <c r="R237" s="14" t="n"/>
      <c r="S237" s="14" t="n"/>
      <c r="T237" s="12" t="inlineStr">
        <is>
          <t>Not started</t>
        </is>
      </c>
      <c r="U237" s="12" t="inlineStr">
        <is>
          <t>Existing free/open-source options</t>
        </is>
      </c>
    </row>
    <row r="238">
      <c r="A238" s="11" t="n">
        <v>237</v>
      </c>
      <c r="B238" s="12" t="inlineStr">
        <is>
          <t>copilot metrics grafana</t>
        </is>
      </c>
      <c r="C238" s="11" t="inlineStr">
        <is>
          <t>SEO</t>
        </is>
      </c>
      <c r="D238" s="12" t="inlineStr">
        <is>
          <t>Google Autocomplete</t>
        </is>
      </c>
      <c r="E238" s="12" t="inlineStr">
        <is>
          <t>Competitor</t>
        </is>
      </c>
      <c r="F238" s="13" t="n"/>
      <c r="G238" s="13" t="n"/>
      <c r="H238" s="14" t="n"/>
      <c r="I238" s="12" t="inlineStr">
        <is>
          <t>Commercial</t>
        </is>
      </c>
      <c r="J238" s="15" t="n">
        <v>2</v>
      </c>
      <c r="K238" s="16">
        <f>IF(I238="","",IF(I238="Transactional",3,IF(I238="Commercial",2,1)))</f>
        <v/>
      </c>
      <c r="L238" s="16">
        <f>IF(G238="","",IF(G238&lt;=20,3,IF(G238&lt;=50,2,1)))</f>
        <v/>
      </c>
      <c r="M238" s="16">
        <f>IF(OR(J238="",K238="",L238=""),"",J238+K238+L238)</f>
        <v/>
      </c>
      <c r="N238" s="11" t="inlineStr">
        <is>
          <t>Secondary</t>
        </is>
      </c>
      <c r="O238" s="12" t="inlineStr">
        <is>
          <t>/compare/github-copilot-metrics</t>
        </is>
      </c>
      <c r="P238" s="12" t="inlineStr">
        <is>
          <t>Compare</t>
        </is>
      </c>
      <c r="Q238" s="14" t="n"/>
      <c r="R238" s="14" t="n"/>
      <c r="S238" s="14" t="n"/>
      <c r="T238" s="12" t="inlineStr">
        <is>
          <t>Not started</t>
        </is>
      </c>
      <c r="U238" s="12" t="inlineStr">
        <is>
          <t>Existing free/open-source options</t>
        </is>
      </c>
    </row>
    <row r="239">
      <c r="A239" s="11" t="n">
        <v>238</v>
      </c>
      <c r="B239" s="12" t="inlineStr">
        <is>
          <t>opencode usage dashboard</t>
        </is>
      </c>
      <c r="C239" s="11" t="inlineStr">
        <is>
          <t>SEO</t>
        </is>
      </c>
      <c r="D239" s="12" t="inlineStr">
        <is>
          <t>Google Autocomplete</t>
        </is>
      </c>
      <c r="E239" s="12" t="inlineStr">
        <is>
          <t>Tool: OpenCode</t>
        </is>
      </c>
      <c r="F239" s="13" t="n"/>
      <c r="G239" s="13" t="n"/>
      <c r="H239" s="14" t="n"/>
      <c r="I239" s="12" t="inlineStr">
        <is>
          <t>Commercial</t>
        </is>
      </c>
      <c r="J239" s="15" t="n">
        <v>3</v>
      </c>
      <c r="K239" s="16">
        <f>IF(I239="","",IF(I239="Transactional",3,IF(I239="Commercial",2,1)))</f>
        <v/>
      </c>
      <c r="L239" s="16">
        <f>IF(G239="","",IF(G239&lt;=20,3,IF(G239&lt;=50,2,1)))</f>
        <v/>
      </c>
      <c r="M239" s="16">
        <f>IF(OR(J239="",K239="",L239=""),"",J239+K239+L239)</f>
        <v/>
      </c>
      <c r="N239" s="11" t="inlineStr">
        <is>
          <t>Secondary</t>
        </is>
      </c>
      <c r="O239" s="12" t="inlineStr">
        <is>
          <t>/integrations/opencode</t>
        </is>
      </c>
      <c r="P239" s="12" t="inlineStr">
        <is>
          <t>Integration</t>
        </is>
      </c>
      <c r="Q239" s="14" t="n"/>
      <c r="R239" s="14" t="n"/>
      <c r="S239" s="14" t="n"/>
      <c r="T239" s="12" t="inlineStr">
        <is>
          <t>Not started</t>
        </is>
      </c>
      <c r="U239" s="12" t="inlineStr"/>
    </row>
    <row r="240">
      <c r="A240" s="11" t="n">
        <v>239</v>
      </c>
      <c r="B240" s="12" t="inlineStr">
        <is>
          <t>opencode usage tracker</t>
        </is>
      </c>
      <c r="C240" s="11" t="inlineStr">
        <is>
          <t>SEO</t>
        </is>
      </c>
      <c r="D240" s="12" t="inlineStr">
        <is>
          <t>Google Autocomplete</t>
        </is>
      </c>
      <c r="E240" s="12" t="inlineStr">
        <is>
          <t>Tool: OpenCode</t>
        </is>
      </c>
      <c r="F240" s="13" t="n"/>
      <c r="G240" s="13" t="n"/>
      <c r="H240" s="14" t="n"/>
      <c r="I240" s="12" t="inlineStr">
        <is>
          <t>Commercial</t>
        </is>
      </c>
      <c r="J240" s="15" t="n">
        <v>3</v>
      </c>
      <c r="K240" s="16">
        <f>IF(I240="","",IF(I240="Transactional",3,IF(I240="Commercial",2,1)))</f>
        <v/>
      </c>
      <c r="L240" s="16">
        <f>IF(G240="","",IF(G240&lt;=20,3,IF(G240&lt;=50,2,1)))</f>
        <v/>
      </c>
      <c r="M240" s="16">
        <f>IF(OR(J240="",K240="",L240=""),"",J240+K240+L240)</f>
        <v/>
      </c>
      <c r="N240" s="11" t="inlineStr">
        <is>
          <t>Secondary</t>
        </is>
      </c>
      <c r="O240" s="12" t="inlineStr">
        <is>
          <t>/integrations/opencode</t>
        </is>
      </c>
      <c r="P240" s="12" t="inlineStr">
        <is>
          <t>Integration</t>
        </is>
      </c>
      <c r="Q240" s="14" t="n"/>
      <c r="R240" s="14" t="n"/>
      <c r="S240" s="14" t="n"/>
      <c r="T240" s="12" t="inlineStr">
        <is>
          <t>Not started</t>
        </is>
      </c>
      <c r="U240" s="12" t="inlineStr"/>
    </row>
    <row r="241">
      <c r="A241" s="11" t="n">
        <v>240</v>
      </c>
      <c r="B241" s="12" t="inlineStr">
        <is>
          <t>opencode usage stats</t>
        </is>
      </c>
      <c r="C241" s="11" t="inlineStr">
        <is>
          <t>SEO</t>
        </is>
      </c>
      <c r="D241" s="12" t="inlineStr">
        <is>
          <t>Google Autocomplete</t>
        </is>
      </c>
      <c r="E241" s="12" t="inlineStr">
        <is>
          <t>Tool: OpenCode</t>
        </is>
      </c>
      <c r="F241" s="13" t="n"/>
      <c r="G241" s="13" t="n"/>
      <c r="H241" s="14" t="n"/>
      <c r="I241" s="12" t="inlineStr">
        <is>
          <t>Commercial</t>
        </is>
      </c>
      <c r="J241" s="15" t="n">
        <v>3</v>
      </c>
      <c r="K241" s="16">
        <f>IF(I241="","",IF(I241="Transactional",3,IF(I241="Commercial",2,1)))</f>
        <v/>
      </c>
      <c r="L241" s="16">
        <f>IF(G241="","",IF(G241&lt;=20,3,IF(G241&lt;=50,2,1)))</f>
        <v/>
      </c>
      <c r="M241" s="16">
        <f>IF(OR(J241="",K241="",L241=""),"",J241+K241+L241)</f>
        <v/>
      </c>
      <c r="N241" s="11" t="inlineStr">
        <is>
          <t>Secondary</t>
        </is>
      </c>
      <c r="O241" s="12" t="inlineStr">
        <is>
          <t>/integrations/opencode</t>
        </is>
      </c>
      <c r="P241" s="12" t="inlineStr">
        <is>
          <t>Integration</t>
        </is>
      </c>
      <c r="Q241" s="14" t="n"/>
      <c r="R241" s="14" t="n"/>
      <c r="S241" s="14" t="n"/>
      <c r="T241" s="12" t="inlineStr">
        <is>
          <t>Not started</t>
        </is>
      </c>
      <c r="U241" s="12" t="inlineStr"/>
    </row>
    <row r="242">
      <c r="A242" s="11" t="n">
        <v>241</v>
      </c>
      <c r="B242" s="12" t="inlineStr">
        <is>
          <t>how to track opencode usage</t>
        </is>
      </c>
      <c r="C242" s="11" t="inlineStr">
        <is>
          <t>SEO</t>
        </is>
      </c>
      <c r="D242" s="12" t="inlineStr">
        <is>
          <t>Google Autocomplete</t>
        </is>
      </c>
      <c r="E242" s="12" t="inlineStr">
        <is>
          <t>Tool: OpenCode</t>
        </is>
      </c>
      <c r="F242" s="13" t="n"/>
      <c r="G242" s="13" t="n"/>
      <c r="H242" s="14" t="n"/>
      <c r="I242" s="12" t="inlineStr">
        <is>
          <t>Informational</t>
        </is>
      </c>
      <c r="J242" s="15" t="n">
        <v>2</v>
      </c>
      <c r="K242" s="16">
        <f>IF(I242="","",IF(I242="Transactional",3,IF(I242="Commercial",2,1)))</f>
        <v/>
      </c>
      <c r="L242" s="16">
        <f>IF(G242="","",IF(G242&lt;=20,3,IF(G242&lt;=50,2,1)))</f>
        <v/>
      </c>
      <c r="M242" s="16">
        <f>IF(OR(J242="",K242="",L242=""),"",J242+K242+L242)</f>
        <v/>
      </c>
      <c r="N242" s="11" t="inlineStr">
        <is>
          <t>Secondary</t>
        </is>
      </c>
      <c r="O242" s="12" t="inlineStr">
        <is>
          <t>/integrations/opencode</t>
        </is>
      </c>
      <c r="P242" s="12" t="inlineStr">
        <is>
          <t>Integration</t>
        </is>
      </c>
      <c r="Q242" s="14" t="n"/>
      <c r="R242" s="14" t="n"/>
      <c r="S242" s="14" t="n"/>
      <c r="T242" s="12" t="inlineStr">
        <is>
          <t>Not started</t>
        </is>
      </c>
      <c r="U242" s="12" t="inlineStr"/>
    </row>
    <row r="243">
      <c r="A243" s="11" t="n">
        <v>242</v>
      </c>
      <c r="B243" s="12" t="inlineStr">
        <is>
          <t>cline usage statistics</t>
        </is>
      </c>
      <c r="C243" s="11" t="inlineStr">
        <is>
          <t>SEO</t>
        </is>
      </c>
      <c r="D243" s="12" t="inlineStr">
        <is>
          <t>Google Autocomplete</t>
        </is>
      </c>
      <c r="E243" s="12" t="inlineStr">
        <is>
          <t>Tool: Cline</t>
        </is>
      </c>
      <c r="F243" s="13" t="n"/>
      <c r="G243" s="13" t="n"/>
      <c r="H243" s="14" t="n"/>
      <c r="I243" s="12" t="inlineStr">
        <is>
          <t>Commercial</t>
        </is>
      </c>
      <c r="J243" s="15" t="n">
        <v>3</v>
      </c>
      <c r="K243" s="16">
        <f>IF(I243="","",IF(I243="Transactional",3,IF(I243="Commercial",2,1)))</f>
        <v/>
      </c>
      <c r="L243" s="16">
        <f>IF(G243="","",IF(G243&lt;=20,3,IF(G243&lt;=50,2,1)))</f>
        <v/>
      </c>
      <c r="M243" s="16">
        <f>IF(OR(J243="",K243="",L243=""),"",J243+K243+L243)</f>
        <v/>
      </c>
      <c r="N243" s="11" t="inlineStr">
        <is>
          <t>Secondary</t>
        </is>
      </c>
      <c r="O243" s="12" t="inlineStr">
        <is>
          <t>/integrations/cline</t>
        </is>
      </c>
      <c r="P243" s="12" t="inlineStr">
        <is>
          <t>Integration</t>
        </is>
      </c>
      <c r="Q243" s="14" t="n"/>
      <c r="R243" s="14" t="n"/>
      <c r="S243" s="14" t="n"/>
      <c r="T243" s="12" t="inlineStr">
        <is>
          <t>Not started</t>
        </is>
      </c>
      <c r="U243" s="12" t="inlineStr"/>
    </row>
    <row r="244">
      <c r="A244" s="11" t="n">
        <v>243</v>
      </c>
      <c r="B244" s="12" t="inlineStr">
        <is>
          <t>copilot billing seats</t>
        </is>
      </c>
      <c r="C244" s="11" t="inlineStr">
        <is>
          <t>SEO</t>
        </is>
      </c>
      <c r="D244" s="12" t="inlineStr">
        <is>
          <t>Google Autocomplete</t>
        </is>
      </c>
      <c r="E244" s="12" t="inlineStr">
        <is>
          <t>Shadow AI &amp; Seats</t>
        </is>
      </c>
      <c r="F244" s="13" t="n"/>
      <c r="G244" s="13" t="n"/>
      <c r="H244" s="14" t="n"/>
      <c r="I244" s="12" t="inlineStr">
        <is>
          <t>Commercial</t>
        </is>
      </c>
      <c r="J244" s="15" t="n">
        <v>3</v>
      </c>
      <c r="K244" s="16">
        <f>IF(I244="","",IF(I244="Transactional",3,IF(I244="Commercial",2,1)))</f>
        <v/>
      </c>
      <c r="L244" s="16">
        <f>IF(G244="","",IF(G244&lt;=20,3,IF(G244&lt;=50,2,1)))</f>
        <v/>
      </c>
      <c r="M244" s="16">
        <f>IF(OR(J244="",K244="",L244=""),"",J244+K244+L244)</f>
        <v/>
      </c>
      <c r="N244" s="11" t="inlineStr">
        <is>
          <t>Secondary</t>
        </is>
      </c>
      <c r="O244" s="12" t="inlineStr">
        <is>
          <t>/shadow-ai</t>
        </is>
      </c>
      <c r="P244" s="12" t="inlineStr">
        <is>
          <t>Solution</t>
        </is>
      </c>
      <c r="Q244" s="14" t="n"/>
      <c r="R244" s="14" t="n"/>
      <c r="S244" s="14" t="n"/>
      <c r="T244" s="12" t="inlineStr">
        <is>
          <t>Not started</t>
        </is>
      </c>
      <c r="U244" s="12" t="inlineStr"/>
    </row>
    <row r="245">
      <c r="A245" s="11" t="n">
        <v>244</v>
      </c>
      <c r="B245" s="12" t="inlineStr">
        <is>
          <t>copilot seats</t>
        </is>
      </c>
      <c r="C245" s="11" t="inlineStr">
        <is>
          <t>SEO</t>
        </is>
      </c>
      <c r="D245" s="12" t="inlineStr">
        <is>
          <t>Google Autocomplete</t>
        </is>
      </c>
      <c r="E245" s="12" t="inlineStr">
        <is>
          <t>Shadow AI &amp; Seats</t>
        </is>
      </c>
      <c r="F245" s="13" t="n"/>
      <c r="G245" s="13" t="n"/>
      <c r="H245" s="14" t="n"/>
      <c r="I245" s="12" t="inlineStr">
        <is>
          <t>Commercial</t>
        </is>
      </c>
      <c r="J245" s="15" t="n">
        <v>3</v>
      </c>
      <c r="K245" s="16">
        <f>IF(I245="","",IF(I245="Transactional",3,IF(I245="Commercial",2,1)))</f>
        <v/>
      </c>
      <c r="L245" s="16">
        <f>IF(G245="","",IF(G245&lt;=20,3,IF(G245&lt;=50,2,1)))</f>
        <v/>
      </c>
      <c r="M245" s="16">
        <f>IF(OR(J245="",K245="",L245=""),"",J245+K245+L245)</f>
        <v/>
      </c>
      <c r="N245" s="11" t="inlineStr">
        <is>
          <t>Secondary</t>
        </is>
      </c>
      <c r="O245" s="12" t="inlineStr">
        <is>
          <t>/shadow-ai</t>
        </is>
      </c>
      <c r="P245" s="12" t="inlineStr">
        <is>
          <t>Solution</t>
        </is>
      </c>
      <c r="Q245" s="14" t="n"/>
      <c r="R245" s="14" t="n"/>
      <c r="S245" s="14" t="n"/>
      <c r="T245" s="12" t="inlineStr">
        <is>
          <t>Not started</t>
        </is>
      </c>
      <c r="U245" s="12" t="inlineStr"/>
    </row>
    <row r="246">
      <c r="A246" s="11" t="n">
        <v>245</v>
      </c>
      <c r="B246" s="12" t="inlineStr">
        <is>
          <t>token usage dashboard</t>
        </is>
      </c>
      <c r="C246" s="11" t="inlineStr">
        <is>
          <t>SEO</t>
        </is>
      </c>
      <c r="D246" s="12" t="inlineStr">
        <is>
          <t>Google Autocomplete</t>
        </is>
      </c>
      <c r="E246" s="12" t="inlineStr">
        <is>
          <t>Cost</t>
        </is>
      </c>
      <c r="F246" s="13" t="n"/>
      <c r="G246" s="13" t="n"/>
      <c r="H246" s="14" t="n"/>
      <c r="I246" s="12" t="inlineStr">
        <is>
          <t>Commercial</t>
        </is>
      </c>
      <c r="J246" s="15" t="n">
        <v>3</v>
      </c>
      <c r="K246" s="16">
        <f>IF(I246="","",IF(I246="Transactional",3,IF(I246="Commercial",2,1)))</f>
        <v/>
      </c>
      <c r="L246" s="16">
        <f>IF(G246="","",IF(G246&lt;=20,3,IF(G246&lt;=50,2,1)))</f>
        <v/>
      </c>
      <c r="M246" s="16">
        <f>IF(OR(J246="",K246="",L246=""),"",J246+K246+L246)</f>
        <v/>
      </c>
      <c r="N246" s="11" t="inlineStr">
        <is>
          <t>Secondary</t>
        </is>
      </c>
      <c r="O246" s="12" t="inlineStr">
        <is>
          <t>/ai-cost-tracking</t>
        </is>
      </c>
      <c r="P246" s="12" t="inlineStr">
        <is>
          <t>Interactive guide</t>
        </is>
      </c>
      <c r="Q246" s="14" t="n"/>
      <c r="R246" s="14" t="n"/>
      <c r="S246" s="14" t="n"/>
      <c r="T246" s="12" t="inlineStr">
        <is>
          <t>Not started</t>
        </is>
      </c>
      <c r="U246" s="12" t="inlineStr"/>
    </row>
    <row r="247">
      <c r="A247" s="11" t="n">
        <v>246</v>
      </c>
      <c r="B247" s="12" t="inlineStr">
        <is>
          <t>token usage tracker</t>
        </is>
      </c>
      <c r="C247" s="11" t="inlineStr">
        <is>
          <t>SEO</t>
        </is>
      </c>
      <c r="D247" s="12" t="inlineStr">
        <is>
          <t>Google Autocomplete</t>
        </is>
      </c>
      <c r="E247" s="12" t="inlineStr">
        <is>
          <t>Cost</t>
        </is>
      </c>
      <c r="F247" s="13" t="n"/>
      <c r="G247" s="13" t="n"/>
      <c r="H247" s="14" t="n"/>
      <c r="I247" s="12" t="inlineStr">
        <is>
          <t>Commercial</t>
        </is>
      </c>
      <c r="J247" s="15" t="n">
        <v>3</v>
      </c>
      <c r="K247" s="16">
        <f>IF(I247="","",IF(I247="Transactional",3,IF(I247="Commercial",2,1)))</f>
        <v/>
      </c>
      <c r="L247" s="16">
        <f>IF(G247="","",IF(G247&lt;=20,3,IF(G247&lt;=50,2,1)))</f>
        <v/>
      </c>
      <c r="M247" s="16">
        <f>IF(OR(J247="",K247="",L247=""),"",J247+K247+L247)</f>
        <v/>
      </c>
      <c r="N247" s="11" t="inlineStr">
        <is>
          <t>Secondary</t>
        </is>
      </c>
      <c r="O247" s="12" t="inlineStr">
        <is>
          <t>/ai-cost-tracking</t>
        </is>
      </c>
      <c r="P247" s="12" t="inlineStr">
        <is>
          <t>Interactive guide</t>
        </is>
      </c>
      <c r="Q247" s="14" t="n"/>
      <c r="R247" s="14" t="n"/>
      <c r="S247" s="14" t="n"/>
      <c r="T247" s="12" t="inlineStr">
        <is>
          <t>Not started</t>
        </is>
      </c>
      <c r="U247" s="12" t="inlineStr"/>
    </row>
    <row r="248">
      <c r="A248" s="11" t="n">
        <v>247</v>
      </c>
      <c r="B248" s="12" t="inlineStr">
        <is>
          <t>token usage tracking</t>
        </is>
      </c>
      <c r="C248" s="11" t="inlineStr">
        <is>
          <t>SEO</t>
        </is>
      </c>
      <c r="D248" s="12" t="inlineStr">
        <is>
          <t>Google Autocomplete</t>
        </is>
      </c>
      <c r="E248" s="12" t="inlineStr">
        <is>
          <t>Cost</t>
        </is>
      </c>
      <c r="F248" s="13" t="n"/>
      <c r="G248" s="13" t="n"/>
      <c r="H248" s="14" t="n"/>
      <c r="I248" s="12" t="inlineStr">
        <is>
          <t>Commercial</t>
        </is>
      </c>
      <c r="J248" s="15" t="n">
        <v>3</v>
      </c>
      <c r="K248" s="16">
        <f>IF(I248="","",IF(I248="Transactional",3,IF(I248="Commercial",2,1)))</f>
        <v/>
      </c>
      <c r="L248" s="16">
        <f>IF(G248="","",IF(G248&lt;=20,3,IF(G248&lt;=50,2,1)))</f>
        <v/>
      </c>
      <c r="M248" s="16">
        <f>IF(OR(J248="",K248="",L248=""),"",J248+K248+L248)</f>
        <v/>
      </c>
      <c r="N248" s="11" t="inlineStr">
        <is>
          <t>Secondary</t>
        </is>
      </c>
      <c r="O248" s="12" t="inlineStr">
        <is>
          <t>/ai-cost-tracking</t>
        </is>
      </c>
      <c r="P248" s="12" t="inlineStr">
        <is>
          <t>Interactive guide</t>
        </is>
      </c>
      <c r="Q248" s="14" t="n"/>
      <c r="R248" s="14" t="n"/>
      <c r="S248" s="14" t="n"/>
      <c r="T248" s="12" t="inlineStr">
        <is>
          <t>Not started</t>
        </is>
      </c>
      <c r="U248" s="12" t="inlineStr"/>
    </row>
    <row r="249">
      <c r="A249" s="11" t="n">
        <v>248</v>
      </c>
      <c r="B249" s="12" t="inlineStr">
        <is>
          <t>token usage monitor</t>
        </is>
      </c>
      <c r="C249" s="11" t="inlineStr">
        <is>
          <t>SEO</t>
        </is>
      </c>
      <c r="D249" s="12" t="inlineStr">
        <is>
          <t>Google Autocomplete</t>
        </is>
      </c>
      <c r="E249" s="12" t="inlineStr">
        <is>
          <t>Cost</t>
        </is>
      </c>
      <c r="F249" s="13" t="n"/>
      <c r="G249" s="13" t="n"/>
      <c r="H249" s="14" t="n"/>
      <c r="I249" s="12" t="inlineStr">
        <is>
          <t>Commercial</t>
        </is>
      </c>
      <c r="J249" s="15" t="n">
        <v>3</v>
      </c>
      <c r="K249" s="16">
        <f>IF(I249="","",IF(I249="Transactional",3,IF(I249="Commercial",2,1)))</f>
        <v/>
      </c>
      <c r="L249" s="16">
        <f>IF(G249="","",IF(G249&lt;=20,3,IF(G249&lt;=50,2,1)))</f>
        <v/>
      </c>
      <c r="M249" s="16">
        <f>IF(OR(J249="",K249="",L249=""),"",J249+K249+L249)</f>
        <v/>
      </c>
      <c r="N249" s="11" t="inlineStr">
        <is>
          <t>Secondary</t>
        </is>
      </c>
      <c r="O249" s="12" t="inlineStr">
        <is>
          <t>/ai-cost-tracking</t>
        </is>
      </c>
      <c r="P249" s="12" t="inlineStr">
        <is>
          <t>Interactive guide</t>
        </is>
      </c>
      <c r="Q249" s="14" t="n"/>
      <c r="R249" s="14" t="n"/>
      <c r="S249" s="14" t="n"/>
      <c r="T249" s="12" t="inlineStr">
        <is>
          <t>Not started</t>
        </is>
      </c>
      <c r="U249" s="12" t="inlineStr"/>
    </row>
    <row r="250">
      <c r="A250" s="11" t="n">
        <v>249</v>
      </c>
      <c r="B250" s="12" t="inlineStr">
        <is>
          <t>token usage report</t>
        </is>
      </c>
      <c r="C250" s="11" t="inlineStr">
        <is>
          <t>SEO</t>
        </is>
      </c>
      <c r="D250" s="12" t="inlineStr">
        <is>
          <t>Google Autocomplete</t>
        </is>
      </c>
      <c r="E250" s="12" t="inlineStr">
        <is>
          <t>Cost</t>
        </is>
      </c>
      <c r="F250" s="13" t="n"/>
      <c r="G250" s="13" t="n"/>
      <c r="H250" s="14" t="n"/>
      <c r="I250" s="12" t="inlineStr">
        <is>
          <t>Commercial</t>
        </is>
      </c>
      <c r="J250" s="15" t="n">
        <v>3</v>
      </c>
      <c r="K250" s="16">
        <f>IF(I250="","",IF(I250="Transactional",3,IF(I250="Commercial",2,1)))</f>
        <v/>
      </c>
      <c r="L250" s="16">
        <f>IF(G250="","",IF(G250&lt;=20,3,IF(G250&lt;=50,2,1)))</f>
        <v/>
      </c>
      <c r="M250" s="16">
        <f>IF(OR(J250="",K250="",L250=""),"",J250+K250+L250)</f>
        <v/>
      </c>
      <c r="N250" s="11" t="inlineStr">
        <is>
          <t>Secondary</t>
        </is>
      </c>
      <c r="O250" s="12" t="inlineStr">
        <is>
          <t>/ai-cost-tracking</t>
        </is>
      </c>
      <c r="P250" s="12" t="inlineStr">
        <is>
          <t>Interactive guide</t>
        </is>
      </c>
      <c r="Q250" s="14" t="n"/>
      <c r="R250" s="14" t="n"/>
      <c r="S250" s="14" t="n"/>
      <c r="T250" s="12" t="inlineStr">
        <is>
          <t>Not started</t>
        </is>
      </c>
      <c r="U250" s="12" t="inlineStr"/>
    </row>
    <row r="251">
      <c r="A251" s="11" t="n">
        <v>250</v>
      </c>
      <c r="B251" s="12" t="inlineStr">
        <is>
          <t>token usage metrics</t>
        </is>
      </c>
      <c r="C251" s="11" t="inlineStr">
        <is>
          <t>SEO</t>
        </is>
      </c>
      <c r="D251" s="12" t="inlineStr">
        <is>
          <t>Google Autocomplete</t>
        </is>
      </c>
      <c r="E251" s="12" t="inlineStr">
        <is>
          <t>Cost</t>
        </is>
      </c>
      <c r="F251" s="13" t="n"/>
      <c r="G251" s="13" t="n"/>
      <c r="H251" s="14" t="n"/>
      <c r="I251" s="12" t="inlineStr">
        <is>
          <t>Commercial</t>
        </is>
      </c>
      <c r="J251" s="15" t="n">
        <v>3</v>
      </c>
      <c r="K251" s="16">
        <f>IF(I251="","",IF(I251="Transactional",3,IF(I251="Commercial",2,1)))</f>
        <v/>
      </c>
      <c r="L251" s="16">
        <f>IF(G251="","",IF(G251&lt;=20,3,IF(G251&lt;=50,2,1)))</f>
        <v/>
      </c>
      <c r="M251" s="16">
        <f>IF(OR(J251="",K251="",L251=""),"",J251+K251+L251)</f>
        <v/>
      </c>
      <c r="N251" s="11" t="inlineStr">
        <is>
          <t>Secondary</t>
        </is>
      </c>
      <c r="O251" s="12" t="inlineStr">
        <is>
          <t>/ai-cost-tracking</t>
        </is>
      </c>
      <c r="P251" s="12" t="inlineStr">
        <is>
          <t>Interactive guide</t>
        </is>
      </c>
      <c r="Q251" s="14" t="n"/>
      <c r="R251" s="14" t="n"/>
      <c r="S251" s="14" t="n"/>
      <c r="T251" s="12" t="inlineStr">
        <is>
          <t>Not started</t>
        </is>
      </c>
      <c r="U251" s="12" t="inlineStr"/>
    </row>
    <row r="252">
      <c r="A252" s="11" t="n">
        <v>251</v>
      </c>
      <c r="B252" s="12" t="inlineStr">
        <is>
          <t>ai token usage tracker</t>
        </is>
      </c>
      <c r="C252" s="11" t="inlineStr">
        <is>
          <t>SEO</t>
        </is>
      </c>
      <c r="D252" s="12" t="inlineStr">
        <is>
          <t>Google Autocomplete</t>
        </is>
      </c>
      <c r="E252" s="12" t="inlineStr">
        <is>
          <t>Cost</t>
        </is>
      </c>
      <c r="F252" s="13" t="n"/>
      <c r="G252" s="13" t="n"/>
      <c r="H252" s="14" t="n"/>
      <c r="I252" s="12" t="inlineStr">
        <is>
          <t>Commercial</t>
        </is>
      </c>
      <c r="J252" s="15" t="n">
        <v>3</v>
      </c>
      <c r="K252" s="16">
        <f>IF(I252="","",IF(I252="Transactional",3,IF(I252="Commercial",2,1)))</f>
        <v/>
      </c>
      <c r="L252" s="16">
        <f>IF(G252="","",IF(G252&lt;=20,3,IF(G252&lt;=50,2,1)))</f>
        <v/>
      </c>
      <c r="M252" s="16">
        <f>IF(OR(J252="",K252="",L252=""),"",J252+K252+L252)</f>
        <v/>
      </c>
      <c r="N252" s="11" t="inlineStr">
        <is>
          <t>Secondary</t>
        </is>
      </c>
      <c r="O252" s="12" t="inlineStr">
        <is>
          <t>/ai-cost-tracking</t>
        </is>
      </c>
      <c r="P252" s="12" t="inlineStr">
        <is>
          <t>Interactive guide</t>
        </is>
      </c>
      <c r="Q252" s="14" t="n"/>
      <c r="R252" s="14" t="n"/>
      <c r="S252" s="14" t="n"/>
      <c r="T252" s="12" t="inlineStr">
        <is>
          <t>Not started</t>
        </is>
      </c>
      <c r="U252" s="12" t="inlineStr"/>
    </row>
    <row r="253">
      <c r="A253" s="11" t="n">
        <v>252</v>
      </c>
      <c r="B253" s="12" t="inlineStr">
        <is>
          <t>track ai token usage</t>
        </is>
      </c>
      <c r="C253" s="11" t="inlineStr">
        <is>
          <t>SEO</t>
        </is>
      </c>
      <c r="D253" s="12" t="inlineStr">
        <is>
          <t>Google Autocomplete</t>
        </is>
      </c>
      <c r="E253" s="12" t="inlineStr">
        <is>
          <t>Cost</t>
        </is>
      </c>
      <c r="F253" s="13" t="n"/>
      <c r="G253" s="13" t="n"/>
      <c r="H253" s="14" t="n"/>
      <c r="I253" s="12" t="inlineStr">
        <is>
          <t>Commercial</t>
        </is>
      </c>
      <c r="J253" s="15" t="n">
        <v>3</v>
      </c>
      <c r="K253" s="16">
        <f>IF(I253="","",IF(I253="Transactional",3,IF(I253="Commercial",2,1)))</f>
        <v/>
      </c>
      <c r="L253" s="16">
        <f>IF(G253="","",IF(G253&lt;=20,3,IF(G253&lt;=50,2,1)))</f>
        <v/>
      </c>
      <c r="M253" s="16">
        <f>IF(OR(J253="",K253="",L253=""),"",J253+K253+L253)</f>
        <v/>
      </c>
      <c r="N253" s="11" t="inlineStr">
        <is>
          <t>Secondary</t>
        </is>
      </c>
      <c r="O253" s="12" t="inlineStr">
        <is>
          <t>/ai-cost-tracking</t>
        </is>
      </c>
      <c r="P253" s="12" t="inlineStr">
        <is>
          <t>Interactive guide</t>
        </is>
      </c>
      <c r="Q253" s="14" t="n"/>
      <c r="R253" s="14" t="n"/>
      <c r="S253" s="14" t="n"/>
      <c r="T253" s="12" t="inlineStr">
        <is>
          <t>Not started</t>
        </is>
      </c>
      <c r="U253" s="12" t="inlineStr"/>
    </row>
    <row r="254">
      <c r="A254" s="11" t="n">
        <v>253</v>
      </c>
      <c r="B254" s="12" t="inlineStr">
        <is>
          <t>monitor ai token usage</t>
        </is>
      </c>
      <c r="C254" s="11" t="inlineStr">
        <is>
          <t>SEO</t>
        </is>
      </c>
      <c r="D254" s="12" t="inlineStr">
        <is>
          <t>Google Autocomplete</t>
        </is>
      </c>
      <c r="E254" s="12" t="inlineStr">
        <is>
          <t>Cost</t>
        </is>
      </c>
      <c r="F254" s="13" t="n"/>
      <c r="G254" s="13" t="n"/>
      <c r="H254" s="14" t="n"/>
      <c r="I254" s="12" t="inlineStr">
        <is>
          <t>Commercial</t>
        </is>
      </c>
      <c r="J254" s="15" t="n">
        <v>3</v>
      </c>
      <c r="K254" s="16">
        <f>IF(I254="","",IF(I254="Transactional",3,IF(I254="Commercial",2,1)))</f>
        <v/>
      </c>
      <c r="L254" s="16">
        <f>IF(G254="","",IF(G254&lt;=20,3,IF(G254&lt;=50,2,1)))</f>
        <v/>
      </c>
      <c r="M254" s="16">
        <f>IF(OR(J254="",K254="",L254=""),"",J254+K254+L254)</f>
        <v/>
      </c>
      <c r="N254" s="11" t="inlineStr">
        <is>
          <t>Secondary</t>
        </is>
      </c>
      <c r="O254" s="12" t="inlineStr">
        <is>
          <t>/ai-cost-tracking</t>
        </is>
      </c>
      <c r="P254" s="12" t="inlineStr">
        <is>
          <t>Interactive guide</t>
        </is>
      </c>
      <c r="Q254" s="14" t="n"/>
      <c r="R254" s="14" t="n"/>
      <c r="S254" s="14" t="n"/>
      <c r="T254" s="12" t="inlineStr">
        <is>
          <t>Not started</t>
        </is>
      </c>
      <c r="U254" s="12" t="inlineStr"/>
    </row>
    <row r="255">
      <c r="A255" s="11" t="n">
        <v>254</v>
      </c>
      <c r="B255" s="12" t="inlineStr">
        <is>
          <t>ai cost per developer</t>
        </is>
      </c>
      <c r="C255" s="11" t="inlineStr">
        <is>
          <t>SEO</t>
        </is>
      </c>
      <c r="D255" s="12" t="inlineStr">
        <is>
          <t>Google Autocomplete</t>
        </is>
      </c>
      <c r="E255" s="12" t="inlineStr">
        <is>
          <t>Cost</t>
        </is>
      </c>
      <c r="F255" s="13" t="n"/>
      <c r="G255" s="13" t="n"/>
      <c r="H255" s="14" t="n"/>
      <c r="I255" s="12" t="inlineStr">
        <is>
          <t>Commercial</t>
        </is>
      </c>
      <c r="J255" s="15" t="n">
        <v>3</v>
      </c>
      <c r="K255" s="16">
        <f>IF(I255="","",IF(I255="Transactional",3,IF(I255="Commercial",2,1)))</f>
        <v/>
      </c>
      <c r="L255" s="16">
        <f>IF(G255="","",IF(G255&lt;=20,3,IF(G255&lt;=50,2,1)))</f>
        <v/>
      </c>
      <c r="M255" s="16">
        <f>IF(OR(J255="",K255="",L255=""),"",J255+K255+L255)</f>
        <v/>
      </c>
      <c r="N255" s="11" t="inlineStr">
        <is>
          <t>Secondary</t>
        </is>
      </c>
      <c r="O255" s="12" t="inlineStr">
        <is>
          <t>/ai-cost-tracking</t>
        </is>
      </c>
      <c r="P255" s="12" t="inlineStr">
        <is>
          <t>Interactive guide</t>
        </is>
      </c>
      <c r="Q255" s="14" t="n"/>
      <c r="R255" s="14" t="n"/>
      <c r="S255" s="14" t="n"/>
      <c r="T255" s="12" t="inlineStr">
        <is>
          <t>Not started</t>
        </is>
      </c>
      <c r="U255" s="12" t="inlineStr"/>
    </row>
    <row r="256">
      <c r="A256" s="11" t="n">
        <v>255</v>
      </c>
      <c r="B256" s="12" t="inlineStr">
        <is>
          <t>token consumption report</t>
        </is>
      </c>
      <c r="C256" s="11" t="inlineStr">
        <is>
          <t>SEO</t>
        </is>
      </c>
      <c r="D256" s="12" t="inlineStr">
        <is>
          <t>Google Autocomplete</t>
        </is>
      </c>
      <c r="E256" s="12" t="inlineStr">
        <is>
          <t>Cost</t>
        </is>
      </c>
      <c r="F256" s="13" t="n"/>
      <c r="G256" s="13" t="n"/>
      <c r="H256" s="14" t="n"/>
      <c r="I256" s="12" t="inlineStr">
        <is>
          <t>Commercial</t>
        </is>
      </c>
      <c r="J256" s="15" t="n">
        <v>3</v>
      </c>
      <c r="K256" s="16">
        <f>IF(I256="","",IF(I256="Transactional",3,IF(I256="Commercial",2,1)))</f>
        <v/>
      </c>
      <c r="L256" s="16">
        <f>IF(G256="","",IF(G256&lt;=20,3,IF(G256&lt;=50,2,1)))</f>
        <v/>
      </c>
      <c r="M256" s="16">
        <f>IF(OR(J256="",K256="",L256=""),"",J256+K256+L256)</f>
        <v/>
      </c>
      <c r="N256" s="11" t="inlineStr">
        <is>
          <t>Secondary</t>
        </is>
      </c>
      <c r="O256" s="12" t="inlineStr">
        <is>
          <t>/ai-cost-tracking</t>
        </is>
      </c>
      <c r="P256" s="12" t="inlineStr">
        <is>
          <t>Interactive guide</t>
        </is>
      </c>
      <c r="Q256" s="14" t="n"/>
      <c r="R256" s="14" t="n"/>
      <c r="S256" s="14" t="n"/>
      <c r="T256" s="12" t="inlineStr">
        <is>
          <t>Not started</t>
        </is>
      </c>
      <c r="U256" s="12" t="inlineStr"/>
    </row>
    <row r="257">
      <c r="A257" s="11" t="n">
        <v>256</v>
      </c>
      <c r="B257" s="12" t="inlineStr">
        <is>
          <t>token usage by model</t>
        </is>
      </c>
      <c r="C257" s="11" t="inlineStr">
        <is>
          <t>SEO</t>
        </is>
      </c>
      <c r="D257" s="12" t="inlineStr">
        <is>
          <t>Google Autocomplete</t>
        </is>
      </c>
      <c r="E257" s="12" t="inlineStr">
        <is>
          <t>Cost</t>
        </is>
      </c>
      <c r="F257" s="13" t="n"/>
      <c r="G257" s="13" t="n"/>
      <c r="H257" s="14" t="n"/>
      <c r="I257" s="12" t="inlineStr">
        <is>
          <t>Informational</t>
        </is>
      </c>
      <c r="J257" s="15" t="n">
        <v>2</v>
      </c>
      <c r="K257" s="16">
        <f>IF(I257="","",IF(I257="Transactional",3,IF(I257="Commercial",2,1)))</f>
        <v/>
      </c>
      <c r="L257" s="16">
        <f>IF(G257="","",IF(G257&lt;=20,3,IF(G257&lt;=50,2,1)))</f>
        <v/>
      </c>
      <c r="M257" s="16">
        <f>IF(OR(J257="",K257="",L257=""),"",J257+K257+L257)</f>
        <v/>
      </c>
      <c r="N257" s="11" t="inlineStr">
        <is>
          <t>Secondary</t>
        </is>
      </c>
      <c r="O257" s="12" t="inlineStr">
        <is>
          <t>/ai-cost-tracking</t>
        </is>
      </c>
      <c r="P257" s="12" t="inlineStr">
        <is>
          <t>Interactive guide</t>
        </is>
      </c>
      <c r="Q257" s="14" t="n"/>
      <c r="R257" s="14" t="n"/>
      <c r="S257" s="14" t="n"/>
      <c r="T257" s="12" t="inlineStr">
        <is>
          <t>Not started</t>
        </is>
      </c>
      <c r="U257" s="12" t="inlineStr"/>
    </row>
    <row r="258">
      <c r="A258" s="11" t="n">
        <v>257</v>
      </c>
      <c r="B258" s="12" t="inlineStr">
        <is>
          <t>cost of ai coding tools</t>
        </is>
      </c>
      <c r="C258" s="11" t="inlineStr">
        <is>
          <t>SEO</t>
        </is>
      </c>
      <c r="D258" s="12" t="inlineStr">
        <is>
          <t>Google Autocomplete</t>
        </is>
      </c>
      <c r="E258" s="12" t="inlineStr">
        <is>
          <t>Cost</t>
        </is>
      </c>
      <c r="F258" s="13" t="n"/>
      <c r="G258" s="13" t="n"/>
      <c r="H258" s="14" t="n"/>
      <c r="I258" s="12" t="inlineStr">
        <is>
          <t>Informational</t>
        </is>
      </c>
      <c r="J258" s="15" t="n">
        <v>2</v>
      </c>
      <c r="K258" s="16">
        <f>IF(I258="","",IF(I258="Transactional",3,IF(I258="Commercial",2,1)))</f>
        <v/>
      </c>
      <c r="L258" s="16">
        <f>IF(G258="","",IF(G258&lt;=20,3,IF(G258&lt;=50,2,1)))</f>
        <v/>
      </c>
      <c r="M258" s="16">
        <f>IF(OR(J258="",K258="",L258=""),"",J258+K258+L258)</f>
        <v/>
      </c>
      <c r="N258" s="11" t="inlineStr">
        <is>
          <t>Secondary</t>
        </is>
      </c>
      <c r="O258" s="12" t="inlineStr">
        <is>
          <t>/ai-cost-tracking</t>
        </is>
      </c>
      <c r="P258" s="12" t="inlineStr">
        <is>
          <t>Interactive guide</t>
        </is>
      </c>
      <c r="Q258" s="14" t="n"/>
      <c r="R258" s="14" t="n"/>
      <c r="S258" s="14" t="n"/>
      <c r="T258" s="12" t="inlineStr">
        <is>
          <t>Not started</t>
        </is>
      </c>
      <c r="U258" s="12" t="inlineStr"/>
    </row>
    <row r="259">
      <c r="A259" s="11" t="n">
        <v>258</v>
      </c>
      <c r="B259" s="12" t="inlineStr">
        <is>
          <t>ai coding assistant metrics</t>
        </is>
      </c>
      <c r="C259" s="11" t="inlineStr">
        <is>
          <t>SEO</t>
        </is>
      </c>
      <c r="D259" s="12" t="inlineStr">
        <is>
          <t>Google Autocomplete</t>
        </is>
      </c>
      <c r="E259" s="12" t="inlineStr">
        <is>
          <t>Category</t>
        </is>
      </c>
      <c r="F259" s="13" t="n"/>
      <c r="G259" s="13" t="n"/>
      <c r="H259" s="14" t="n"/>
      <c r="I259" s="12" t="inlineStr">
        <is>
          <t>Commercial</t>
        </is>
      </c>
      <c r="J259" s="15" t="n">
        <v>3</v>
      </c>
      <c r="K259" s="16">
        <f>IF(I259="","",IF(I259="Transactional",3,IF(I259="Commercial",2,1)))</f>
        <v/>
      </c>
      <c r="L259" s="16">
        <f>IF(G259="","",IF(G259&lt;=20,3,IF(G259&lt;=50,2,1)))</f>
        <v/>
      </c>
      <c r="M259" s="16">
        <f>IF(OR(J259="",K259="",L259=""),"",J259+K259+L259)</f>
        <v/>
      </c>
      <c r="N259" s="11" t="inlineStr">
        <is>
          <t>Secondary</t>
        </is>
      </c>
      <c r="O259" s="12" t="inlineStr">
        <is>
          <t>/ai-coding-analytics</t>
        </is>
      </c>
      <c r="P259" s="12" t="inlineStr">
        <is>
          <t>Solution</t>
        </is>
      </c>
      <c r="Q259" s="14" t="n"/>
      <c r="R259" s="14" t="n"/>
      <c r="S259" s="14" t="n"/>
      <c r="T259" s="12" t="inlineStr">
        <is>
          <t>Not started</t>
        </is>
      </c>
      <c r="U259" s="12" t="inlineStr"/>
    </row>
    <row r="260">
      <c r="A260" s="11" t="n">
        <v>259</v>
      </c>
      <c r="B260" s="12" t="inlineStr">
        <is>
          <t>agentic coding dashboard</t>
        </is>
      </c>
      <c r="C260" s="11" t="inlineStr">
        <is>
          <t>SEO</t>
        </is>
      </c>
      <c r="D260" s="12" t="inlineStr">
        <is>
          <t>Google Autocomplete</t>
        </is>
      </c>
      <c r="E260" s="12" t="inlineStr">
        <is>
          <t>Category</t>
        </is>
      </c>
      <c r="F260" s="13" t="n"/>
      <c r="G260" s="13" t="n"/>
      <c r="H260" s="14" t="n"/>
      <c r="I260" s="12" t="inlineStr">
        <is>
          <t>Commercial</t>
        </is>
      </c>
      <c r="J260" s="15" t="n">
        <v>3</v>
      </c>
      <c r="K260" s="16">
        <f>IF(I260="","",IF(I260="Transactional",3,IF(I260="Commercial",2,1)))</f>
        <v/>
      </c>
      <c r="L260" s="16">
        <f>IF(G260="","",IF(G260&lt;=20,3,IF(G260&lt;=50,2,1)))</f>
        <v/>
      </c>
      <c r="M260" s="16">
        <f>IF(OR(J260="",K260="",L260=""),"",J260+K260+L260)</f>
        <v/>
      </c>
      <c r="N260" s="11" t="inlineStr">
        <is>
          <t>Secondary</t>
        </is>
      </c>
      <c r="O260" s="12" t="inlineStr">
        <is>
          <t>/ai-coding-analytics</t>
        </is>
      </c>
      <c r="P260" s="12" t="inlineStr">
        <is>
          <t>Solution</t>
        </is>
      </c>
      <c r="Q260" s="14" t="n"/>
      <c r="R260" s="14" t="n"/>
      <c r="S260" s="14" t="n"/>
      <c r="T260" s="12" t="inlineStr">
        <is>
          <t>Not started</t>
        </is>
      </c>
      <c r="U260" s="12" t="inlineStr"/>
    </row>
    <row r="261">
      <c r="A261" s="11" t="n">
        <v>260</v>
      </c>
      <c r="B261" s="12" t="inlineStr">
        <is>
          <t>how to measure developer productivity with ai</t>
        </is>
      </c>
      <c r="C261" s="11" t="inlineStr">
        <is>
          <t>SEO</t>
        </is>
      </c>
      <c r="D261" s="12" t="inlineStr">
        <is>
          <t>Google Autocomplete</t>
        </is>
      </c>
      <c r="E261" s="12" t="inlineStr">
        <is>
          <t>Engineering Intelligence</t>
        </is>
      </c>
      <c r="F261" s="13" t="n"/>
      <c r="G261" s="13" t="n"/>
      <c r="H261" s="14" t="n"/>
      <c r="I261" s="12" t="inlineStr">
        <is>
          <t>Informational</t>
        </is>
      </c>
      <c r="J261" s="15" t="n">
        <v>2</v>
      </c>
      <c r="K261" s="16">
        <f>IF(I261="","",IF(I261="Transactional",3,IF(I261="Commercial",2,1)))</f>
        <v/>
      </c>
      <c r="L261" s="16">
        <f>IF(G261="","",IF(G261&lt;=20,3,IF(G261&lt;=50,2,1)))</f>
        <v/>
      </c>
      <c r="M261" s="16">
        <f>IF(OR(J261="",K261="",L261=""),"",J261+K261+L261)</f>
        <v/>
      </c>
      <c r="N261" s="11" t="inlineStr">
        <is>
          <t>Secondary</t>
        </is>
      </c>
      <c r="O261" s="12" t="inlineStr">
        <is>
          <t>/blog/measure-developer-productivity-ai</t>
        </is>
      </c>
      <c r="P261" s="12" t="inlineStr">
        <is>
          <t>Interactive guide</t>
        </is>
      </c>
      <c r="Q261" s="14" t="n"/>
      <c r="R261" s="14" t="n"/>
      <c r="S261" s="14" t="n"/>
      <c r="T261" s="12" t="inlineStr">
        <is>
          <t>Not started</t>
        </is>
      </c>
      <c r="U261" s="12" t="inlineStr"/>
    </row>
    <row r="262">
      <c r="A262" s="11" t="n">
        <v>261</v>
      </c>
      <c r="B262" s="12" t="inlineStr">
        <is>
          <t>measuring developer productivity with ai</t>
        </is>
      </c>
      <c r="C262" s="11" t="inlineStr">
        <is>
          <t>SEO</t>
        </is>
      </c>
      <c r="D262" s="12" t="inlineStr">
        <is>
          <t>Google Autocomplete</t>
        </is>
      </c>
      <c r="E262" s="12" t="inlineStr">
        <is>
          <t>Engineering Intelligence</t>
        </is>
      </c>
      <c r="F262" s="13" t="n"/>
      <c r="G262" s="13" t="n"/>
      <c r="H262" s="14" t="n"/>
      <c r="I262" s="12" t="inlineStr">
        <is>
          <t>Informational</t>
        </is>
      </c>
      <c r="J262" s="15" t="n">
        <v>2</v>
      </c>
      <c r="K262" s="16">
        <f>IF(I262="","",IF(I262="Transactional",3,IF(I262="Commercial",2,1)))</f>
        <v/>
      </c>
      <c r="L262" s="16">
        <f>IF(G262="","",IF(G262&lt;=20,3,IF(G262&lt;=50,2,1)))</f>
        <v/>
      </c>
      <c r="M262" s="16">
        <f>IF(OR(J262="",K262="",L262=""),"",J262+K262+L262)</f>
        <v/>
      </c>
      <c r="N262" s="11" t="inlineStr">
        <is>
          <t>Secondary</t>
        </is>
      </c>
      <c r="O262" s="12" t="inlineStr">
        <is>
          <t>/blog/measure-developer-productivity-ai</t>
        </is>
      </c>
      <c r="P262" s="12" t="inlineStr">
        <is>
          <t>Interactive guide</t>
        </is>
      </c>
      <c r="Q262" s="14" t="n"/>
      <c r="R262" s="14" t="n"/>
      <c r="S262" s="14" t="n"/>
      <c r="T262" s="12" t="inlineStr">
        <is>
          <t>Not started</t>
        </is>
      </c>
      <c r="U262" s="12" t="inlineStr"/>
    </row>
    <row r="263">
      <c r="A263" s="11" t="n">
        <v>262</v>
      </c>
      <c r="B263" s="12" t="inlineStr">
        <is>
          <t>ai developer productivity metrics</t>
        </is>
      </c>
      <c r="C263" s="11" t="inlineStr">
        <is>
          <t>SEO</t>
        </is>
      </c>
      <c r="D263" s="12" t="inlineStr">
        <is>
          <t>Google Autocomplete</t>
        </is>
      </c>
      <c r="E263" s="12" t="inlineStr">
        <is>
          <t>Engineering Intelligence</t>
        </is>
      </c>
      <c r="F263" s="13" t="n"/>
      <c r="G263" s="13" t="n"/>
      <c r="H263" s="14" t="n"/>
      <c r="I263" s="12" t="inlineStr">
        <is>
          <t>Informational</t>
        </is>
      </c>
      <c r="J263" s="15" t="n">
        <v>2</v>
      </c>
      <c r="K263" s="16">
        <f>IF(I263="","",IF(I263="Transactional",3,IF(I263="Commercial",2,1)))</f>
        <v/>
      </c>
      <c r="L263" s="16">
        <f>IF(G263="","",IF(G263&lt;=20,3,IF(G263&lt;=50,2,1)))</f>
        <v/>
      </c>
      <c r="M263" s="16">
        <f>IF(OR(J263="",K263="",L263=""),"",J263+K263+L263)</f>
        <v/>
      </c>
      <c r="N263" s="11" t="inlineStr">
        <is>
          <t>Secondary</t>
        </is>
      </c>
      <c r="O263" s="12" t="inlineStr">
        <is>
          <t>/blog/measure-developer-productivity-ai</t>
        </is>
      </c>
      <c r="P263" s="12" t="inlineStr">
        <is>
          <t>Interactive guide</t>
        </is>
      </c>
      <c r="Q263" s="14" t="n"/>
      <c r="R263" s="14" t="n"/>
      <c r="S263" s="14" t="n"/>
      <c r="T263" s="12" t="inlineStr">
        <is>
          <t>Not started</t>
        </is>
      </c>
      <c r="U263" s="12" t="inlineStr"/>
    </row>
    <row r="264">
      <c r="A264" s="11" t="n">
        <v>263</v>
      </c>
      <c r="B264" s="12" t="inlineStr">
        <is>
          <t>ai coding assistant productivity impact</t>
        </is>
      </c>
      <c r="C264" s="11" t="inlineStr">
        <is>
          <t>SEO</t>
        </is>
      </c>
      <c r="D264" s="12" t="inlineStr">
        <is>
          <t>Google Autocomplete</t>
        </is>
      </c>
      <c r="E264" s="12" t="inlineStr">
        <is>
          <t>Engineering Intelligence</t>
        </is>
      </c>
      <c r="F264" s="13" t="n"/>
      <c r="G264" s="13" t="n"/>
      <c r="H264" s="14" t="n"/>
      <c r="I264" s="12" t="inlineStr">
        <is>
          <t>Informational</t>
        </is>
      </c>
      <c r="J264" s="15" t="n">
        <v>2</v>
      </c>
      <c r="K264" s="16">
        <f>IF(I264="","",IF(I264="Transactional",3,IF(I264="Commercial",2,1)))</f>
        <v/>
      </c>
      <c r="L264" s="16">
        <f>IF(G264="","",IF(G264&lt;=20,3,IF(G264&lt;=50,2,1)))</f>
        <v/>
      </c>
      <c r="M264" s="16">
        <f>IF(OR(J264="",K264="",L264=""),"",J264+K264+L264)</f>
        <v/>
      </c>
      <c r="N264" s="11" t="inlineStr">
        <is>
          <t>Secondary</t>
        </is>
      </c>
      <c r="O264" s="12" t="inlineStr">
        <is>
          <t>/blog/measure-developer-productivity-ai</t>
        </is>
      </c>
      <c r="P264" s="12" t="inlineStr">
        <is>
          <t>Interactive guide</t>
        </is>
      </c>
      <c r="Q264" s="14" t="n"/>
      <c r="R264" s="14" t="n"/>
      <c r="S264" s="14" t="n"/>
      <c r="T264" s="12" t="inlineStr">
        <is>
          <t>Not started</t>
        </is>
      </c>
      <c r="U264" s="12" t="inlineStr"/>
    </row>
    <row r="265">
      <c r="A265" s="11" t="n">
        <v>264</v>
      </c>
      <c r="B265" s="12" t="inlineStr">
        <is>
          <t>is ai increasing developer productivity</t>
        </is>
      </c>
      <c r="C265" s="11" t="inlineStr">
        <is>
          <t>SEO</t>
        </is>
      </c>
      <c r="D265" s="12" t="inlineStr">
        <is>
          <t>Google Autocomplete</t>
        </is>
      </c>
      <c r="E265" s="12" t="inlineStr">
        <is>
          <t>Engineering Intelligence</t>
        </is>
      </c>
      <c r="F265" s="13" t="n"/>
      <c r="G265" s="13" t="n"/>
      <c r="H265" s="14" t="n"/>
      <c r="I265" s="12" t="inlineStr">
        <is>
          <t>Informational</t>
        </is>
      </c>
      <c r="J265" s="15" t="n">
        <v>2</v>
      </c>
      <c r="K265" s="16">
        <f>IF(I265="","",IF(I265="Transactional",3,IF(I265="Commercial",2,1)))</f>
        <v/>
      </c>
      <c r="L265" s="16">
        <f>IF(G265="","",IF(G265&lt;=20,3,IF(G265&lt;=50,2,1)))</f>
        <v/>
      </c>
      <c r="M265" s="16">
        <f>IF(OR(J265="",K265="",L265=""),"",J265+K265+L265)</f>
        <v/>
      </c>
      <c r="N265" s="11" t="inlineStr">
        <is>
          <t>Secondary</t>
        </is>
      </c>
      <c r="O265" s="12" t="inlineStr">
        <is>
          <t>/blog/measure-developer-productivity-ai</t>
        </is>
      </c>
      <c r="P265" s="12" t="inlineStr">
        <is>
          <t>Interactive guide</t>
        </is>
      </c>
      <c r="Q265" s="14" t="n"/>
      <c r="R265" s="14" t="n"/>
      <c r="S265" s="14" t="n"/>
      <c r="T265" s="12" t="inlineStr">
        <is>
          <t>Not started</t>
        </is>
      </c>
      <c r="U265" s="12" t="inlineStr"/>
    </row>
    <row r="266">
      <c r="A266" s="11" t="n">
        <v>265</v>
      </c>
      <c r="B266" s="12" t="inlineStr">
        <is>
          <t>how to measure developer productivity</t>
        </is>
      </c>
      <c r="C266" s="11" t="inlineStr">
        <is>
          <t>SEO</t>
        </is>
      </c>
      <c r="D266" s="12" t="inlineStr">
        <is>
          <t>Google Autocomplete</t>
        </is>
      </c>
      <c r="E266" s="12" t="inlineStr">
        <is>
          <t>Engineering Intelligence</t>
        </is>
      </c>
      <c r="F266" s="13" t="n"/>
      <c r="G266" s="13" t="n"/>
      <c r="H266" s="14" t="n"/>
      <c r="I266" s="12" t="inlineStr">
        <is>
          <t>Informational</t>
        </is>
      </c>
      <c r="J266" s="15" t="n">
        <v>2</v>
      </c>
      <c r="K266" s="16">
        <f>IF(I266="","",IF(I266="Transactional",3,IF(I266="Commercial",2,1)))</f>
        <v/>
      </c>
      <c r="L266" s="16">
        <f>IF(G266="","",IF(G266&lt;=20,3,IF(G266&lt;=50,2,1)))</f>
        <v/>
      </c>
      <c r="M266" s="16">
        <f>IF(OR(J266="",K266="",L266=""),"",J266+K266+L266)</f>
        <v/>
      </c>
      <c r="N266" s="11" t="inlineStr">
        <is>
          <t>Secondary</t>
        </is>
      </c>
      <c r="O266" s="12" t="inlineStr">
        <is>
          <t>/blog/measure-developer-productivity-ai</t>
        </is>
      </c>
      <c r="P266" s="12" t="inlineStr">
        <is>
          <t>Interactive guide</t>
        </is>
      </c>
      <c r="Q266" s="14" t="n"/>
      <c r="R266" s="14" t="n"/>
      <c r="S266" s="14" t="n"/>
      <c r="T266" s="12" t="inlineStr">
        <is>
          <t>Not started</t>
        </is>
      </c>
      <c r="U266" s="12" t="inlineStr"/>
    </row>
    <row r="267">
      <c r="A267" s="11" t="n">
        <v>266</v>
      </c>
      <c r="B267" s="12" t="inlineStr">
        <is>
          <t>ai coding assistant adoption</t>
        </is>
      </c>
      <c r="C267" s="11" t="inlineStr">
        <is>
          <t>SEO</t>
        </is>
      </c>
      <c r="D267" s="12" t="inlineStr">
        <is>
          <t>Google Autocomplete</t>
        </is>
      </c>
      <c r="E267" s="12" t="inlineStr">
        <is>
          <t>Engineering Intelligence</t>
        </is>
      </c>
      <c r="F267" s="13" t="n"/>
      <c r="G267" s="13" t="n"/>
      <c r="H267" s="14" t="n"/>
      <c r="I267" s="12" t="inlineStr">
        <is>
          <t>Commercial</t>
        </is>
      </c>
      <c r="J267" s="15" t="n">
        <v>2</v>
      </c>
      <c r="K267" s="16">
        <f>IF(I267="","",IF(I267="Transactional",3,IF(I267="Commercial",2,1)))</f>
        <v/>
      </c>
      <c r="L267" s="16">
        <f>IF(G267="","",IF(G267&lt;=20,3,IF(G267&lt;=50,2,1)))</f>
        <v/>
      </c>
      <c r="M267" s="16">
        <f>IF(OR(J267="",K267="",L267=""),"",J267+K267+L267)</f>
        <v/>
      </c>
      <c r="N267" s="11" t="inlineStr">
        <is>
          <t>Secondary</t>
        </is>
      </c>
      <c r="O267" s="12" t="inlineStr">
        <is>
          <t>/engineering-intelligence</t>
        </is>
      </c>
      <c r="P267" s="12" t="inlineStr">
        <is>
          <t>Solution</t>
        </is>
      </c>
      <c r="Q267" s="14" t="n"/>
      <c r="R267" s="14" t="n"/>
      <c r="S267" s="14" t="n"/>
      <c r="T267" s="12" t="inlineStr">
        <is>
          <t>Not started</t>
        </is>
      </c>
      <c r="U267" s="12" t="inlineStr"/>
    </row>
    <row r="268">
      <c r="A268" s="11" t="n">
        <v>267</v>
      </c>
      <c r="B268" s="12" t="inlineStr">
        <is>
          <t>ai adoption software engineering</t>
        </is>
      </c>
      <c r="C268" s="11" t="inlineStr">
        <is>
          <t>SEO</t>
        </is>
      </c>
      <c r="D268" s="12" t="inlineStr">
        <is>
          <t>Google Autocomplete</t>
        </is>
      </c>
      <c r="E268" s="12" t="inlineStr">
        <is>
          <t>Engineering Intelligence</t>
        </is>
      </c>
      <c r="F268" s="13" t="n"/>
      <c r="G268" s="13" t="n"/>
      <c r="H268" s="14" t="n"/>
      <c r="I268" s="12" t="inlineStr">
        <is>
          <t>Commercial</t>
        </is>
      </c>
      <c r="J268" s="15" t="n">
        <v>2</v>
      </c>
      <c r="K268" s="16">
        <f>IF(I268="","",IF(I268="Transactional",3,IF(I268="Commercial",2,1)))</f>
        <v/>
      </c>
      <c r="L268" s="16">
        <f>IF(G268="","",IF(G268&lt;=20,3,IF(G268&lt;=50,2,1)))</f>
        <v/>
      </c>
      <c r="M268" s="16">
        <f>IF(OR(J268="",K268="",L268=""),"",J268+K268+L268)</f>
        <v/>
      </c>
      <c r="N268" s="11" t="inlineStr">
        <is>
          <t>Secondary</t>
        </is>
      </c>
      <c r="O268" s="12" t="inlineStr">
        <is>
          <t>/engineering-intelligence</t>
        </is>
      </c>
      <c r="P268" s="12" t="inlineStr">
        <is>
          <t>Solution</t>
        </is>
      </c>
      <c r="Q268" s="14" t="n"/>
      <c r="R268" s="14" t="n"/>
      <c r="S268" s="14" t="n"/>
      <c r="T268" s="12" t="inlineStr">
        <is>
          <t>Not started</t>
        </is>
      </c>
      <c r="U268" s="12" t="inlineStr"/>
    </row>
    <row r="269">
      <c r="A269" s="11" t="n">
        <v>268</v>
      </c>
      <c r="B269" s="12" t="inlineStr">
        <is>
          <t>scaling ai adoption in engineering</t>
        </is>
      </c>
      <c r="C269" s="11" t="inlineStr">
        <is>
          <t>SEO</t>
        </is>
      </c>
      <c r="D269" s="12" t="inlineStr">
        <is>
          <t>Google Autocomplete</t>
        </is>
      </c>
      <c r="E269" s="12" t="inlineStr">
        <is>
          <t>Engineering Intelligence</t>
        </is>
      </c>
      <c r="F269" s="13" t="n"/>
      <c r="G269" s="13" t="n"/>
      <c r="H269" s="14" t="n"/>
      <c r="I269" s="12" t="inlineStr">
        <is>
          <t>Commercial</t>
        </is>
      </c>
      <c r="J269" s="15" t="n">
        <v>2</v>
      </c>
      <c r="K269" s="16">
        <f>IF(I269="","",IF(I269="Transactional",3,IF(I269="Commercial",2,1)))</f>
        <v/>
      </c>
      <c r="L269" s="16">
        <f>IF(G269="","",IF(G269&lt;=20,3,IF(G269&lt;=50,2,1)))</f>
        <v/>
      </c>
      <c r="M269" s="16">
        <f>IF(OR(J269="",K269="",L269=""),"",J269+K269+L269)</f>
        <v/>
      </c>
      <c r="N269" s="11" t="inlineStr">
        <is>
          <t>Secondary</t>
        </is>
      </c>
      <c r="O269" s="12" t="inlineStr">
        <is>
          <t>/engineering-intelligence</t>
        </is>
      </c>
      <c r="P269" s="12" t="inlineStr">
        <is>
          <t>Solution</t>
        </is>
      </c>
      <c r="Q269" s="14" t="n"/>
      <c r="R269" s="14" t="n"/>
      <c r="S269" s="14" t="n"/>
      <c r="T269" s="12" t="inlineStr">
        <is>
          <t>Not started</t>
        </is>
      </c>
      <c r="U269" s="12" t="inlineStr"/>
    </row>
    <row r="270">
      <c r="A270" s="11" t="n">
        <v>269</v>
      </c>
      <c r="B270" s="12" t="inlineStr">
        <is>
          <t>scaling agentic coding across your organization</t>
        </is>
      </c>
      <c r="C270" s="11" t="inlineStr">
        <is>
          <t>SEO</t>
        </is>
      </c>
      <c r="D270" s="12" t="inlineStr">
        <is>
          <t>Google Autocomplete</t>
        </is>
      </c>
      <c r="E270" s="12" t="inlineStr">
        <is>
          <t>Engineering Intelligence</t>
        </is>
      </c>
      <c r="F270" s="13" t="n"/>
      <c r="G270" s="13" t="n"/>
      <c r="H270" s="14" t="n"/>
      <c r="I270" s="12" t="inlineStr">
        <is>
          <t>Commercial</t>
        </is>
      </c>
      <c r="J270" s="15" t="n">
        <v>2</v>
      </c>
      <c r="K270" s="16">
        <f>IF(I270="","",IF(I270="Transactional",3,IF(I270="Commercial",2,1)))</f>
        <v/>
      </c>
      <c r="L270" s="16">
        <f>IF(G270="","",IF(G270&lt;=20,3,IF(G270&lt;=50,2,1)))</f>
        <v/>
      </c>
      <c r="M270" s="16">
        <f>IF(OR(J270="",K270="",L270=""),"",J270+K270+L270)</f>
        <v/>
      </c>
      <c r="N270" s="11" t="inlineStr">
        <is>
          <t>Secondary</t>
        </is>
      </c>
      <c r="O270" s="12" t="inlineStr">
        <is>
          <t>/engineering-intelligence</t>
        </is>
      </c>
      <c r="P270" s="12" t="inlineStr">
        <is>
          <t>Solution</t>
        </is>
      </c>
      <c r="Q270" s="14" t="n"/>
      <c r="R270" s="14" t="n"/>
      <c r="S270" s="14" t="n"/>
      <c r="T270" s="12" t="inlineStr">
        <is>
          <t>Not started</t>
        </is>
      </c>
      <c r="U270" s="12" t="inlineStr"/>
    </row>
    <row r="271">
      <c r="A271" s="11" t="n">
        <v>270</v>
      </c>
      <c r="B271" s="12" t="inlineStr">
        <is>
          <t>engineering manager developer productivity ai</t>
        </is>
      </c>
      <c r="C271" s="11" t="inlineStr">
        <is>
          <t>SEO</t>
        </is>
      </c>
      <c r="D271" s="12" t="inlineStr">
        <is>
          <t>Google Autocomplete</t>
        </is>
      </c>
      <c r="E271" s="12" t="inlineStr">
        <is>
          <t>Engineering Intelligence</t>
        </is>
      </c>
      <c r="F271" s="13" t="n"/>
      <c r="G271" s="13" t="n"/>
      <c r="H271" s="14" t="n"/>
      <c r="I271" s="12" t="inlineStr">
        <is>
          <t>Commercial</t>
        </is>
      </c>
      <c r="J271" s="15" t="n">
        <v>2</v>
      </c>
      <c r="K271" s="16">
        <f>IF(I271="","",IF(I271="Transactional",3,IF(I271="Commercial",2,1)))</f>
        <v/>
      </c>
      <c r="L271" s="16">
        <f>IF(G271="","",IF(G271&lt;=20,3,IF(G271&lt;=50,2,1)))</f>
        <v/>
      </c>
      <c r="M271" s="16">
        <f>IF(OR(J271="",K271="",L271=""),"",J271+K271+L271)</f>
        <v/>
      </c>
      <c r="N271" s="11" t="inlineStr">
        <is>
          <t>Secondary</t>
        </is>
      </c>
      <c r="O271" s="12" t="inlineStr">
        <is>
          <t>/engineering-intelligence</t>
        </is>
      </c>
      <c r="P271" s="12" t="inlineStr">
        <is>
          <t>Solution</t>
        </is>
      </c>
      <c r="Q271" s="14" t="n"/>
      <c r="R271" s="14" t="n"/>
      <c r="S271" s="14" t="n"/>
      <c r="T271" s="12" t="inlineStr">
        <is>
          <t>Not started</t>
        </is>
      </c>
      <c r="U271" s="12" t="inlineStr"/>
    </row>
    <row r="272">
      <c r="A272" s="11" t="n">
        <v>271</v>
      </c>
      <c r="B272" s="12" t="inlineStr">
        <is>
          <t>developer analytics tools</t>
        </is>
      </c>
      <c r="C272" s="11" t="inlineStr">
        <is>
          <t>SEO</t>
        </is>
      </c>
      <c r="D272" s="12" t="inlineStr">
        <is>
          <t>Google Autocomplete</t>
        </is>
      </c>
      <c r="E272" s="12" t="inlineStr">
        <is>
          <t>Engineering Intelligence</t>
        </is>
      </c>
      <c r="F272" s="13" t="n"/>
      <c r="G272" s="13" t="n"/>
      <c r="H272" s="14" t="n"/>
      <c r="I272" s="12" t="inlineStr">
        <is>
          <t>Commercial</t>
        </is>
      </c>
      <c r="J272" s="15" t="n">
        <v>2</v>
      </c>
      <c r="K272" s="16">
        <f>IF(I272="","",IF(I272="Transactional",3,IF(I272="Commercial",2,1)))</f>
        <v/>
      </c>
      <c r="L272" s="16">
        <f>IF(G272="","",IF(G272&lt;=20,3,IF(G272&lt;=50,2,1)))</f>
        <v/>
      </c>
      <c r="M272" s="16">
        <f>IF(OR(J272="",K272="",L272=""),"",J272+K272+L272)</f>
        <v/>
      </c>
      <c r="N272" s="11" t="inlineStr">
        <is>
          <t>Secondary</t>
        </is>
      </c>
      <c r="O272" s="12" t="inlineStr">
        <is>
          <t>/engineering-intelligence</t>
        </is>
      </c>
      <c r="P272" s="12" t="inlineStr">
        <is>
          <t>Solution</t>
        </is>
      </c>
      <c r="Q272" s="14" t="n"/>
      <c r="R272" s="14" t="n"/>
      <c r="S272" s="14" t="n"/>
      <c r="T272" s="12" t="inlineStr">
        <is>
          <t>Not started</t>
        </is>
      </c>
      <c r="U272" s="12" t="inlineStr"/>
    </row>
    <row r="273">
      <c r="A273" s="11" t="n">
        <v>272</v>
      </c>
      <c r="B273" s="12" t="inlineStr">
        <is>
          <t>ai coding assistant statistics</t>
        </is>
      </c>
      <c r="C273" s="11" t="inlineStr">
        <is>
          <t>SEO</t>
        </is>
      </c>
      <c r="D273" s="12" t="inlineStr">
        <is>
          <t>Google Autocomplete</t>
        </is>
      </c>
      <c r="E273" s="12" t="inlineStr">
        <is>
          <t>Engineering Intelligence</t>
        </is>
      </c>
      <c r="F273" s="13" t="n"/>
      <c r="G273" s="13" t="n"/>
      <c r="H273" s="14" t="n"/>
      <c r="I273" s="12" t="inlineStr">
        <is>
          <t>Informational</t>
        </is>
      </c>
      <c r="J273" s="15" t="n">
        <v>2</v>
      </c>
      <c r="K273" s="16">
        <f>IF(I273="","",IF(I273="Transactional",3,IF(I273="Commercial",2,1)))</f>
        <v/>
      </c>
      <c r="L273" s="16">
        <f>IF(G273="","",IF(G273&lt;=20,3,IF(G273&lt;=50,2,1)))</f>
        <v/>
      </c>
      <c r="M273" s="16">
        <f>IF(OR(J273="",K273="",L273=""),"",J273+K273+L273)</f>
        <v/>
      </c>
      <c r="N273" s="11" t="inlineStr">
        <is>
          <t>Secondary</t>
        </is>
      </c>
      <c r="O273" s="12" t="inlineStr">
        <is>
          <t>/blog/ai-coding-data-report</t>
        </is>
      </c>
      <c r="P273" s="12" t="inlineStr">
        <is>
          <t>Blog</t>
        </is>
      </c>
      <c r="Q273" s="14" t="n"/>
      <c r="R273" s="14" t="n"/>
      <c r="S273" s="14" t="n"/>
      <c r="T273" s="12" t="inlineStr">
        <is>
          <t>Not started</t>
        </is>
      </c>
      <c r="U273" s="12" t="inlineStr">
        <is>
          <t>Target with your original data report</t>
        </is>
      </c>
    </row>
    <row r="274">
      <c r="A274" s="11" t="n">
        <v>273</v>
      </c>
      <c r="B274" s="12" t="inlineStr">
        <is>
          <t>shadow ai detection</t>
        </is>
      </c>
      <c r="C274" s="11" t="inlineStr">
        <is>
          <t>SEO</t>
        </is>
      </c>
      <c r="D274" s="12" t="inlineStr">
        <is>
          <t>Google Autocomplete</t>
        </is>
      </c>
      <c r="E274" s="12" t="inlineStr">
        <is>
          <t>Shadow AI &amp; Seats</t>
        </is>
      </c>
      <c r="F274" s="13" t="n"/>
      <c r="G274" s="13" t="n"/>
      <c r="H274" s="14" t="n"/>
      <c r="I274" s="12" t="inlineStr">
        <is>
          <t>Commercial</t>
        </is>
      </c>
      <c r="J274" s="15" t="n">
        <v>3</v>
      </c>
      <c r="K274" s="16">
        <f>IF(I274="","",IF(I274="Transactional",3,IF(I274="Commercial",2,1)))</f>
        <v/>
      </c>
      <c r="L274" s="16">
        <f>IF(G274="","",IF(G274&lt;=20,3,IF(G274&lt;=50,2,1)))</f>
        <v/>
      </c>
      <c r="M274" s="16">
        <f>IF(OR(J274="",K274="",L274=""),"",J274+K274+L274)</f>
        <v/>
      </c>
      <c r="N274" s="11" t="inlineStr">
        <is>
          <t>Secondary</t>
        </is>
      </c>
      <c r="O274" s="12" t="inlineStr">
        <is>
          <t>/shadow-ai</t>
        </is>
      </c>
      <c r="P274" s="12" t="inlineStr">
        <is>
          <t>Solution</t>
        </is>
      </c>
      <c r="Q274" s="14" t="n"/>
      <c r="R274" s="14" t="n"/>
      <c r="S274" s="14" t="n"/>
      <c r="T274" s="12" t="inlineStr">
        <is>
          <t>Not started</t>
        </is>
      </c>
      <c r="U274" s="12" t="inlineStr">
        <is>
          <t>Security vendors compete here; angle = coding tools specifically</t>
        </is>
      </c>
    </row>
    <row r="275">
      <c r="A275" s="11" t="n">
        <v>274</v>
      </c>
      <c r="B275" s="12" t="inlineStr">
        <is>
          <t>shadow ai detection tools</t>
        </is>
      </c>
      <c r="C275" s="11" t="inlineStr">
        <is>
          <t>SEO</t>
        </is>
      </c>
      <c r="D275" s="12" t="inlineStr">
        <is>
          <t>Google Autocomplete</t>
        </is>
      </c>
      <c r="E275" s="12" t="inlineStr">
        <is>
          <t>Shadow AI &amp; Seats</t>
        </is>
      </c>
      <c r="F275" s="13" t="n"/>
      <c r="G275" s="13" t="n"/>
      <c r="H275" s="14" t="n"/>
      <c r="I275" s="12" t="inlineStr">
        <is>
          <t>Commercial</t>
        </is>
      </c>
      <c r="J275" s="15" t="n">
        <v>3</v>
      </c>
      <c r="K275" s="16">
        <f>IF(I275="","",IF(I275="Transactional",3,IF(I275="Commercial",2,1)))</f>
        <v/>
      </c>
      <c r="L275" s="16">
        <f>IF(G275="","",IF(G275&lt;=20,3,IF(G275&lt;=50,2,1)))</f>
        <v/>
      </c>
      <c r="M275" s="16">
        <f>IF(OR(J275="",K275="",L275=""),"",J275+K275+L275)</f>
        <v/>
      </c>
      <c r="N275" s="11" t="inlineStr">
        <is>
          <t>Secondary</t>
        </is>
      </c>
      <c r="O275" s="12" t="inlineStr">
        <is>
          <t>/shadow-ai</t>
        </is>
      </c>
      <c r="P275" s="12" t="inlineStr">
        <is>
          <t>Solution</t>
        </is>
      </c>
      <c r="Q275" s="14" t="n"/>
      <c r="R275" s="14" t="n"/>
      <c r="S275" s="14" t="n"/>
      <c r="T275" s="12" t="inlineStr">
        <is>
          <t>Not started</t>
        </is>
      </c>
      <c r="U275" s="12" t="inlineStr">
        <is>
          <t>Security vendors compete here; angle = coding tools specifically</t>
        </is>
      </c>
    </row>
    <row r="276">
      <c r="A276" s="11" t="n">
        <v>275</v>
      </c>
      <c r="B276" s="12" t="inlineStr">
        <is>
          <t>shadow ai discovery tools</t>
        </is>
      </c>
      <c r="C276" s="11" t="inlineStr">
        <is>
          <t>SEO</t>
        </is>
      </c>
      <c r="D276" s="12" t="inlineStr">
        <is>
          <t>Google Autocomplete</t>
        </is>
      </c>
      <c r="E276" s="12" t="inlineStr">
        <is>
          <t>Shadow AI &amp; Seats</t>
        </is>
      </c>
      <c r="F276" s="13" t="n"/>
      <c r="G276" s="13" t="n"/>
      <c r="H276" s="14" t="n"/>
      <c r="I276" s="12" t="inlineStr">
        <is>
          <t>Commercial</t>
        </is>
      </c>
      <c r="J276" s="15" t="n">
        <v>3</v>
      </c>
      <c r="K276" s="16">
        <f>IF(I276="","",IF(I276="Transactional",3,IF(I276="Commercial",2,1)))</f>
        <v/>
      </c>
      <c r="L276" s="16">
        <f>IF(G276="","",IF(G276&lt;=20,3,IF(G276&lt;=50,2,1)))</f>
        <v/>
      </c>
      <c r="M276" s="16">
        <f>IF(OR(J276="",K276="",L276=""),"",J276+K276+L276)</f>
        <v/>
      </c>
      <c r="N276" s="11" t="inlineStr">
        <is>
          <t>Secondary</t>
        </is>
      </c>
      <c r="O276" s="12" t="inlineStr">
        <is>
          <t>/shadow-ai</t>
        </is>
      </c>
      <c r="P276" s="12" t="inlineStr">
        <is>
          <t>Solution</t>
        </is>
      </c>
      <c r="Q276" s="14" t="n"/>
      <c r="R276" s="14" t="n"/>
      <c r="S276" s="14" t="n"/>
      <c r="T276" s="12" t="inlineStr">
        <is>
          <t>Not started</t>
        </is>
      </c>
      <c r="U276" s="12" t="inlineStr">
        <is>
          <t>Security vendors compete here; angle = coding tools specifically</t>
        </is>
      </c>
    </row>
    <row r="277">
      <c r="A277" s="11" t="n">
        <v>276</v>
      </c>
      <c r="B277" s="12" t="inlineStr">
        <is>
          <t>shadow ai monitoring</t>
        </is>
      </c>
      <c r="C277" s="11" t="inlineStr">
        <is>
          <t>SEO</t>
        </is>
      </c>
      <c r="D277" s="12" t="inlineStr">
        <is>
          <t>Google Autocomplete</t>
        </is>
      </c>
      <c r="E277" s="12" t="inlineStr">
        <is>
          <t>Shadow AI &amp; Seats</t>
        </is>
      </c>
      <c r="F277" s="13" t="n"/>
      <c r="G277" s="13" t="n"/>
      <c r="H277" s="14" t="n"/>
      <c r="I277" s="12" t="inlineStr">
        <is>
          <t>Commercial</t>
        </is>
      </c>
      <c r="J277" s="15" t="n">
        <v>3</v>
      </c>
      <c r="K277" s="16">
        <f>IF(I277="","",IF(I277="Transactional",3,IF(I277="Commercial",2,1)))</f>
        <v/>
      </c>
      <c r="L277" s="16">
        <f>IF(G277="","",IF(G277&lt;=20,3,IF(G277&lt;=50,2,1)))</f>
        <v/>
      </c>
      <c r="M277" s="16">
        <f>IF(OR(J277="",K277="",L277=""),"",J277+K277+L277)</f>
        <v/>
      </c>
      <c r="N277" s="11" t="inlineStr">
        <is>
          <t>Secondary</t>
        </is>
      </c>
      <c r="O277" s="12" t="inlineStr">
        <is>
          <t>/shadow-ai</t>
        </is>
      </c>
      <c r="P277" s="12" t="inlineStr">
        <is>
          <t>Solution</t>
        </is>
      </c>
      <c r="Q277" s="14" t="n"/>
      <c r="R277" s="14" t="n"/>
      <c r="S277" s="14" t="n"/>
      <c r="T277" s="12" t="inlineStr">
        <is>
          <t>Not started</t>
        </is>
      </c>
      <c r="U277" s="12" t="inlineStr">
        <is>
          <t>Security vendors compete here; angle = coding tools specifically</t>
        </is>
      </c>
    </row>
    <row r="278">
      <c r="A278" s="11" t="n">
        <v>277</v>
      </c>
      <c r="B278" s="12" t="inlineStr">
        <is>
          <t>shadow ai monitoring tools</t>
        </is>
      </c>
      <c r="C278" s="11" t="inlineStr">
        <is>
          <t>SEO</t>
        </is>
      </c>
      <c r="D278" s="12" t="inlineStr">
        <is>
          <t>Google Autocomplete</t>
        </is>
      </c>
      <c r="E278" s="12" t="inlineStr">
        <is>
          <t>Shadow AI &amp; Seats</t>
        </is>
      </c>
      <c r="F278" s="13" t="n"/>
      <c r="G278" s="13" t="n"/>
      <c r="H278" s="14" t="n"/>
      <c r="I278" s="12" t="inlineStr">
        <is>
          <t>Commercial</t>
        </is>
      </c>
      <c r="J278" s="15" t="n">
        <v>3</v>
      </c>
      <c r="K278" s="16">
        <f>IF(I278="","",IF(I278="Transactional",3,IF(I278="Commercial",2,1)))</f>
        <v/>
      </c>
      <c r="L278" s="16">
        <f>IF(G278="","",IF(G278&lt;=20,3,IF(G278&lt;=50,2,1)))</f>
        <v/>
      </c>
      <c r="M278" s="16">
        <f>IF(OR(J278="",K278="",L278=""),"",J278+K278+L278)</f>
        <v/>
      </c>
      <c r="N278" s="11" t="inlineStr">
        <is>
          <t>Secondary</t>
        </is>
      </c>
      <c r="O278" s="12" t="inlineStr">
        <is>
          <t>/shadow-ai</t>
        </is>
      </c>
      <c r="P278" s="12" t="inlineStr">
        <is>
          <t>Solution</t>
        </is>
      </c>
      <c r="Q278" s="14" t="n"/>
      <c r="R278" s="14" t="n"/>
      <c r="S278" s="14" t="n"/>
      <c r="T278" s="12" t="inlineStr">
        <is>
          <t>Not started</t>
        </is>
      </c>
      <c r="U278" s="12" t="inlineStr">
        <is>
          <t>Security vendors compete here; angle = coding tools specifically</t>
        </is>
      </c>
    </row>
    <row r="279">
      <c r="A279" s="11" t="n">
        <v>278</v>
      </c>
      <c r="B279" s="12" t="inlineStr">
        <is>
          <t>shadow ai tracking</t>
        </is>
      </c>
      <c r="C279" s="11" t="inlineStr">
        <is>
          <t>SEO</t>
        </is>
      </c>
      <c r="D279" s="12" t="inlineStr">
        <is>
          <t>Google Autocomplete</t>
        </is>
      </c>
      <c r="E279" s="12" t="inlineStr">
        <is>
          <t>Shadow AI &amp; Seats</t>
        </is>
      </c>
      <c r="F279" s="13" t="n"/>
      <c r="G279" s="13" t="n"/>
      <c r="H279" s="14" t="n"/>
      <c r="I279" s="12" t="inlineStr">
        <is>
          <t>Commercial</t>
        </is>
      </c>
      <c r="J279" s="15" t="n">
        <v>3</v>
      </c>
      <c r="K279" s="16">
        <f>IF(I279="","",IF(I279="Transactional",3,IF(I279="Commercial",2,1)))</f>
        <v/>
      </c>
      <c r="L279" s="16">
        <f>IF(G279="","",IF(G279&lt;=20,3,IF(G279&lt;=50,2,1)))</f>
        <v/>
      </c>
      <c r="M279" s="16">
        <f>IF(OR(J279="",K279="",L279=""),"",J279+K279+L279)</f>
        <v/>
      </c>
      <c r="N279" s="11" t="inlineStr">
        <is>
          <t>Secondary</t>
        </is>
      </c>
      <c r="O279" s="12" t="inlineStr">
        <is>
          <t>/shadow-ai</t>
        </is>
      </c>
      <c r="P279" s="12" t="inlineStr">
        <is>
          <t>Solution</t>
        </is>
      </c>
      <c r="Q279" s="14" t="n"/>
      <c r="R279" s="14" t="n"/>
      <c r="S279" s="14" t="n"/>
      <c r="T279" s="12" t="inlineStr">
        <is>
          <t>Not started</t>
        </is>
      </c>
      <c r="U279" s="12" t="inlineStr">
        <is>
          <t>Security vendors compete here; angle = coding tools specifically</t>
        </is>
      </c>
    </row>
    <row r="280">
      <c r="A280" s="11" t="n">
        <v>279</v>
      </c>
      <c r="B280" s="12" t="inlineStr">
        <is>
          <t>shadow ai visibility</t>
        </is>
      </c>
      <c r="C280" s="11" t="inlineStr">
        <is>
          <t>SEO</t>
        </is>
      </c>
      <c r="D280" s="12" t="inlineStr">
        <is>
          <t>Google Autocomplete</t>
        </is>
      </c>
      <c r="E280" s="12" t="inlineStr">
        <is>
          <t>Shadow AI &amp; Seats</t>
        </is>
      </c>
      <c r="F280" s="13" t="n"/>
      <c r="G280" s="13" t="n"/>
      <c r="H280" s="14" t="n"/>
      <c r="I280" s="12" t="inlineStr">
        <is>
          <t>Commercial</t>
        </is>
      </c>
      <c r="J280" s="15" t="n">
        <v>3</v>
      </c>
      <c r="K280" s="16">
        <f>IF(I280="","",IF(I280="Transactional",3,IF(I280="Commercial",2,1)))</f>
        <v/>
      </c>
      <c r="L280" s="16">
        <f>IF(G280="","",IF(G280&lt;=20,3,IF(G280&lt;=50,2,1)))</f>
        <v/>
      </c>
      <c r="M280" s="16">
        <f>IF(OR(J280="",K280="",L280=""),"",J280+K280+L280)</f>
        <v/>
      </c>
      <c r="N280" s="11" t="inlineStr">
        <is>
          <t>Secondary</t>
        </is>
      </c>
      <c r="O280" s="12" t="inlineStr">
        <is>
          <t>/shadow-ai</t>
        </is>
      </c>
      <c r="P280" s="12" t="inlineStr">
        <is>
          <t>Solution</t>
        </is>
      </c>
      <c r="Q280" s="14" t="n"/>
      <c r="R280" s="14" t="n"/>
      <c r="S280" s="14" t="n"/>
      <c r="T280" s="12" t="inlineStr">
        <is>
          <t>Not started</t>
        </is>
      </c>
      <c r="U280" s="12" t="inlineStr">
        <is>
          <t>Security vendors compete here; angle = coding tools specifically</t>
        </is>
      </c>
    </row>
    <row r="281">
      <c r="A281" s="11" t="n">
        <v>280</v>
      </c>
      <c r="B281" s="12" t="inlineStr">
        <is>
          <t>shadow ai usage</t>
        </is>
      </c>
      <c r="C281" s="11" t="inlineStr">
        <is>
          <t>SEO</t>
        </is>
      </c>
      <c r="D281" s="12" t="inlineStr">
        <is>
          <t>Google Autocomplete</t>
        </is>
      </c>
      <c r="E281" s="12" t="inlineStr">
        <is>
          <t>Shadow AI &amp; Seats</t>
        </is>
      </c>
      <c r="F281" s="13" t="n"/>
      <c r="G281" s="13" t="n"/>
      <c r="H281" s="14" t="n"/>
      <c r="I281" s="12" t="inlineStr">
        <is>
          <t>Commercial</t>
        </is>
      </c>
      <c r="J281" s="15" t="n">
        <v>3</v>
      </c>
      <c r="K281" s="16">
        <f>IF(I281="","",IF(I281="Transactional",3,IF(I281="Commercial",2,1)))</f>
        <v/>
      </c>
      <c r="L281" s="16">
        <f>IF(G281="","",IF(G281&lt;=20,3,IF(G281&lt;=50,2,1)))</f>
        <v/>
      </c>
      <c r="M281" s="16">
        <f>IF(OR(J281="",K281="",L281=""),"",J281+K281+L281)</f>
        <v/>
      </c>
      <c r="N281" s="11" t="inlineStr">
        <is>
          <t>Secondary</t>
        </is>
      </c>
      <c r="O281" s="12" t="inlineStr">
        <is>
          <t>/shadow-ai</t>
        </is>
      </c>
      <c r="P281" s="12" t="inlineStr">
        <is>
          <t>Solution</t>
        </is>
      </c>
      <c r="Q281" s="14" t="n"/>
      <c r="R281" s="14" t="n"/>
      <c r="S281" s="14" t="n"/>
      <c r="T281" s="12" t="inlineStr">
        <is>
          <t>Not started</t>
        </is>
      </c>
      <c r="U281" s="12" t="inlineStr">
        <is>
          <t>Security vendors compete here; angle = coding tools specifically</t>
        </is>
      </c>
    </row>
    <row r="282">
      <c r="A282" s="11" t="n">
        <v>281</v>
      </c>
      <c r="B282" s="12" t="inlineStr">
        <is>
          <t>best shadow ai tools</t>
        </is>
      </c>
      <c r="C282" s="11" t="inlineStr">
        <is>
          <t>SEO</t>
        </is>
      </c>
      <c r="D282" s="12" t="inlineStr">
        <is>
          <t>Google Autocomplete</t>
        </is>
      </c>
      <c r="E282" s="12" t="inlineStr">
        <is>
          <t>Shadow AI &amp; Seats</t>
        </is>
      </c>
      <c r="F282" s="13" t="n"/>
      <c r="G282" s="13" t="n"/>
      <c r="H282" s="14" t="n"/>
      <c r="I282" s="12" t="inlineStr">
        <is>
          <t>Commercial</t>
        </is>
      </c>
      <c r="J282" s="15" t="n">
        <v>3</v>
      </c>
      <c r="K282" s="16">
        <f>IF(I282="","",IF(I282="Transactional",3,IF(I282="Commercial",2,1)))</f>
        <v/>
      </c>
      <c r="L282" s="16">
        <f>IF(G282="","",IF(G282&lt;=20,3,IF(G282&lt;=50,2,1)))</f>
        <v/>
      </c>
      <c r="M282" s="16">
        <f>IF(OR(J282="",K282="",L282=""),"",J282+K282+L282)</f>
        <v/>
      </c>
      <c r="N282" s="11" t="inlineStr">
        <is>
          <t>Secondary</t>
        </is>
      </c>
      <c r="O282" s="12" t="inlineStr">
        <is>
          <t>/shadow-ai</t>
        </is>
      </c>
      <c r="P282" s="12" t="inlineStr">
        <is>
          <t>Solution</t>
        </is>
      </c>
      <c r="Q282" s="14" t="n"/>
      <c r="R282" s="14" t="n"/>
      <c r="S282" s="14" t="n"/>
      <c r="T282" s="12" t="inlineStr">
        <is>
          <t>Not started</t>
        </is>
      </c>
      <c r="U282" s="12" t="inlineStr">
        <is>
          <t>Security vendors compete here; angle = coding tools specifically</t>
        </is>
      </c>
    </row>
    <row r="283">
      <c r="A283" s="11" t="n">
        <v>282</v>
      </c>
      <c r="B283" s="12" t="inlineStr">
        <is>
          <t>what is shadow ai</t>
        </is>
      </c>
      <c r="C283" s="11" t="inlineStr">
        <is>
          <t>SEO</t>
        </is>
      </c>
      <c r="D283" s="12" t="inlineStr">
        <is>
          <t>Google Autocomplete</t>
        </is>
      </c>
      <c r="E283" s="12" t="inlineStr">
        <is>
          <t>Shadow AI &amp; Seats</t>
        </is>
      </c>
      <c r="F283" s="13" t="n"/>
      <c r="G283" s="13" t="n"/>
      <c r="H283" s="14" t="n"/>
      <c r="I283" s="12" t="inlineStr">
        <is>
          <t>Informational</t>
        </is>
      </c>
      <c r="J283" s="15" t="n">
        <v>2</v>
      </c>
      <c r="K283" s="16">
        <f>IF(I283="","",IF(I283="Transactional",3,IF(I283="Commercial",2,1)))</f>
        <v/>
      </c>
      <c r="L283" s="16">
        <f>IF(G283="","",IF(G283&lt;=20,3,IF(G283&lt;=50,2,1)))</f>
        <v/>
      </c>
      <c r="M283" s="16">
        <f>IF(OR(J283="",K283="",L283=""),"",J283+K283+L283)</f>
        <v/>
      </c>
      <c r="N283" s="11" t="inlineStr">
        <is>
          <t>Secondary</t>
        </is>
      </c>
      <c r="O283" s="12" t="inlineStr">
        <is>
          <t>/shadow-ai</t>
        </is>
      </c>
      <c r="P283" s="12" t="inlineStr">
        <is>
          <t>Solution</t>
        </is>
      </c>
      <c r="Q283" s="14" t="n"/>
      <c r="R283" s="14" t="n"/>
      <c r="S283" s="14" t="n"/>
      <c r="T283" s="12" t="inlineStr">
        <is>
          <t>Not started</t>
        </is>
      </c>
      <c r="U283" s="12" t="inlineStr"/>
    </row>
    <row r="284">
      <c r="A284" s="11" t="n">
        <v>283</v>
      </c>
      <c r="B284" s="12" t="inlineStr">
        <is>
          <t>shadow ai risks</t>
        </is>
      </c>
      <c r="C284" s="11" t="inlineStr">
        <is>
          <t>SEO</t>
        </is>
      </c>
      <c r="D284" s="12" t="inlineStr">
        <is>
          <t>Google Autocomplete</t>
        </is>
      </c>
      <c r="E284" s="12" t="inlineStr">
        <is>
          <t>Shadow AI &amp; Seats</t>
        </is>
      </c>
      <c r="F284" s="13" t="n"/>
      <c r="G284" s="13" t="n"/>
      <c r="H284" s="14" t="n"/>
      <c r="I284" s="12" t="inlineStr">
        <is>
          <t>Informational</t>
        </is>
      </c>
      <c r="J284" s="15" t="n">
        <v>2</v>
      </c>
      <c r="K284" s="16">
        <f>IF(I284="","",IF(I284="Transactional",3,IF(I284="Commercial",2,1)))</f>
        <v/>
      </c>
      <c r="L284" s="16">
        <f>IF(G284="","",IF(G284&lt;=20,3,IF(G284&lt;=50,2,1)))</f>
        <v/>
      </c>
      <c r="M284" s="16">
        <f>IF(OR(J284="",K284="",L284=""),"",J284+K284+L284)</f>
        <v/>
      </c>
      <c r="N284" s="11" t="inlineStr">
        <is>
          <t>Secondary</t>
        </is>
      </c>
      <c r="O284" s="12" t="inlineStr">
        <is>
          <t>/shadow-ai</t>
        </is>
      </c>
      <c r="P284" s="12" t="inlineStr">
        <is>
          <t>Solution</t>
        </is>
      </c>
      <c r="Q284" s="14" t="n"/>
      <c r="R284" s="14" t="n"/>
      <c r="S284" s="14" t="n"/>
      <c r="T284" s="12" t="inlineStr">
        <is>
          <t>Not started</t>
        </is>
      </c>
      <c r="U284" s="12" t="inlineStr"/>
    </row>
    <row r="285">
      <c r="A285" s="11" t="n">
        <v>284</v>
      </c>
      <c r="B285" s="12" t="inlineStr">
        <is>
          <t>shadow ai policy</t>
        </is>
      </c>
      <c r="C285" s="11" t="inlineStr">
        <is>
          <t>SEO</t>
        </is>
      </c>
      <c r="D285" s="12" t="inlineStr">
        <is>
          <t>Google Autocomplete</t>
        </is>
      </c>
      <c r="E285" s="12" t="inlineStr">
        <is>
          <t>Shadow AI &amp; Seats</t>
        </is>
      </c>
      <c r="F285" s="13" t="n"/>
      <c r="G285" s="13" t="n"/>
      <c r="H285" s="14" t="n"/>
      <c r="I285" s="12" t="inlineStr">
        <is>
          <t>Informational</t>
        </is>
      </c>
      <c r="J285" s="15" t="n">
        <v>2</v>
      </c>
      <c r="K285" s="16">
        <f>IF(I285="","",IF(I285="Transactional",3,IF(I285="Commercial",2,1)))</f>
        <v/>
      </c>
      <c r="L285" s="16">
        <f>IF(G285="","",IF(G285&lt;=20,3,IF(G285&lt;=50,2,1)))</f>
        <v/>
      </c>
      <c r="M285" s="16">
        <f>IF(OR(J285="",K285="",L285=""),"",J285+K285+L285)</f>
        <v/>
      </c>
      <c r="N285" s="11" t="inlineStr">
        <is>
          <t>Secondary</t>
        </is>
      </c>
      <c r="O285" s="12" t="inlineStr">
        <is>
          <t>/shadow-ai</t>
        </is>
      </c>
      <c r="P285" s="12" t="inlineStr">
        <is>
          <t>Solution</t>
        </is>
      </c>
      <c r="Q285" s="14" t="n"/>
      <c r="R285" s="14" t="n"/>
      <c r="S285" s="14" t="n"/>
      <c r="T285" s="12" t="inlineStr">
        <is>
          <t>Not started</t>
        </is>
      </c>
      <c r="U285" s="12" t="inlineStr"/>
    </row>
    <row r="286">
      <c r="A286" s="11" t="n">
        <v>285</v>
      </c>
      <c r="B286" s="12" t="inlineStr">
        <is>
          <t>shadow ai usage statistics</t>
        </is>
      </c>
      <c r="C286" s="11" t="inlineStr">
        <is>
          <t>SEO</t>
        </is>
      </c>
      <c r="D286" s="12" t="inlineStr">
        <is>
          <t>Google Autocomplete</t>
        </is>
      </c>
      <c r="E286" s="12" t="inlineStr">
        <is>
          <t>Shadow AI &amp; Seats</t>
        </is>
      </c>
      <c r="F286" s="13" t="n"/>
      <c r="G286" s="13" t="n"/>
      <c r="H286" s="14" t="n"/>
      <c r="I286" s="12" t="inlineStr">
        <is>
          <t>Informational</t>
        </is>
      </c>
      <c r="J286" s="15" t="n">
        <v>2</v>
      </c>
      <c r="K286" s="16">
        <f>IF(I286="","",IF(I286="Transactional",3,IF(I286="Commercial",2,1)))</f>
        <v/>
      </c>
      <c r="L286" s="16">
        <f>IF(G286="","",IF(G286&lt;=20,3,IF(G286&lt;=50,2,1)))</f>
        <v/>
      </c>
      <c r="M286" s="16">
        <f>IF(OR(J286="",K286="",L286=""),"",J286+K286+L286)</f>
        <v/>
      </c>
      <c r="N286" s="11" t="inlineStr">
        <is>
          <t>Secondary</t>
        </is>
      </c>
      <c r="O286" s="12" t="inlineStr">
        <is>
          <t>/blog/ai-coding-data-report</t>
        </is>
      </c>
      <c r="P286" s="12" t="inlineStr">
        <is>
          <t>Blog</t>
        </is>
      </c>
      <c r="Q286" s="14" t="n"/>
      <c r="R286" s="14" t="n"/>
      <c r="S286" s="14" t="n"/>
      <c r="T286" s="12" t="inlineStr">
        <is>
          <t>Not started</t>
        </is>
      </c>
      <c r="U286" s="12" t="inlineStr"/>
    </row>
    <row r="287">
      <c r="A287" s="11" t="n">
        <v>286</v>
      </c>
      <c r="B287" s="12" t="inlineStr">
        <is>
          <t>linearb alternatives</t>
        </is>
      </c>
      <c r="C287" s="11" t="inlineStr">
        <is>
          <t>SEO</t>
        </is>
      </c>
      <c r="D287" s="12" t="inlineStr">
        <is>
          <t>Google Autocomplete</t>
        </is>
      </c>
      <c r="E287" s="12" t="inlineStr">
        <is>
          <t>Competitor</t>
        </is>
      </c>
      <c r="F287" s="13" t="n"/>
      <c r="G287" s="13" t="n"/>
      <c r="H287" s="14" t="n"/>
      <c r="I287" s="12" t="inlineStr">
        <is>
          <t>Commercial</t>
        </is>
      </c>
      <c r="J287" s="15" t="n">
        <v>2</v>
      </c>
      <c r="K287" s="16">
        <f>IF(I287="","",IF(I287="Transactional",3,IF(I287="Commercial",2,1)))</f>
        <v/>
      </c>
      <c r="L287" s="16">
        <f>IF(G287="","",IF(G287&lt;=20,3,IF(G287&lt;=50,2,1)))</f>
        <v/>
      </c>
      <c r="M287" s="16">
        <f>IF(OR(J287="",K287="",L287=""),"",J287+K287+L287)</f>
        <v/>
      </c>
      <c r="N287" s="11" t="inlineStr">
        <is>
          <t>Main</t>
        </is>
      </c>
      <c r="O287" s="12" t="inlineStr">
        <is>
          <t>/compare/linearb</t>
        </is>
      </c>
      <c r="P287" s="12" t="inlineStr">
        <is>
          <t>Compare</t>
        </is>
      </c>
      <c r="Q287" s="14" t="n"/>
      <c r="R287" s="14" t="n"/>
      <c r="S287" s="14" t="n"/>
      <c r="T287" s="12" t="inlineStr">
        <is>
          <t>Not started</t>
        </is>
      </c>
      <c r="U287" s="12" t="inlineStr"/>
    </row>
    <row r="288">
      <c r="A288" s="11" t="n">
        <v>287</v>
      </c>
      <c r="B288" s="12" t="inlineStr">
        <is>
          <t>linearb open source alternative</t>
        </is>
      </c>
      <c r="C288" s="11" t="inlineStr">
        <is>
          <t>SEO</t>
        </is>
      </c>
      <c r="D288" s="12" t="inlineStr">
        <is>
          <t>Google Autocomplete</t>
        </is>
      </c>
      <c r="E288" s="12" t="inlineStr">
        <is>
          <t>Competitor</t>
        </is>
      </c>
      <c r="F288" s="13" t="n"/>
      <c r="G288" s="13" t="n"/>
      <c r="H288" s="14" t="n"/>
      <c r="I288" s="12" t="inlineStr">
        <is>
          <t>Commercial</t>
        </is>
      </c>
      <c r="J288" s="15" t="n">
        <v>2</v>
      </c>
      <c r="K288" s="16">
        <f>IF(I288="","",IF(I288="Transactional",3,IF(I288="Commercial",2,1)))</f>
        <v/>
      </c>
      <c r="L288" s="16">
        <f>IF(G288="","",IF(G288&lt;=20,3,IF(G288&lt;=50,2,1)))</f>
        <v/>
      </c>
      <c r="M288" s="16">
        <f>IF(OR(J288="",K288="",L288=""),"",J288+K288+L288)</f>
        <v/>
      </c>
      <c r="N288" s="11" t="inlineStr">
        <is>
          <t>Secondary</t>
        </is>
      </c>
      <c r="O288" s="12" t="inlineStr">
        <is>
          <t>/compare/linearb</t>
        </is>
      </c>
      <c r="P288" s="12" t="inlineStr">
        <is>
          <t>Compare</t>
        </is>
      </c>
      <c r="Q288" s="14" t="n"/>
      <c r="R288" s="14" t="n"/>
      <c r="S288" s="14" t="n"/>
      <c r="T288" s="12" t="inlineStr">
        <is>
          <t>Not started</t>
        </is>
      </c>
      <c r="U288" s="12" t="inlineStr"/>
    </row>
    <row r="289">
      <c r="A289" s="11" t="n">
        <v>288</v>
      </c>
      <c r="B289" s="12" t="inlineStr">
        <is>
          <t>getdx alternatives</t>
        </is>
      </c>
      <c r="C289" s="11" t="inlineStr">
        <is>
          <t>SEO</t>
        </is>
      </c>
      <c r="D289" s="12" t="inlineStr">
        <is>
          <t>Google Autocomplete</t>
        </is>
      </c>
      <c r="E289" s="12" t="inlineStr">
        <is>
          <t>Competitor</t>
        </is>
      </c>
      <c r="F289" s="13" t="n"/>
      <c r="G289" s="13" t="n"/>
      <c r="H289" s="14" t="n"/>
      <c r="I289" s="12" t="inlineStr">
        <is>
          <t>Commercial</t>
        </is>
      </c>
      <c r="J289" s="15" t="n">
        <v>2</v>
      </c>
      <c r="K289" s="16">
        <f>IF(I289="","",IF(I289="Transactional",3,IF(I289="Commercial",2,1)))</f>
        <v/>
      </c>
      <c r="L289" s="16">
        <f>IF(G289="","",IF(G289&lt;=20,3,IF(G289&lt;=50,2,1)))</f>
        <v/>
      </c>
      <c r="M289" s="16">
        <f>IF(OR(J289="",K289="",L289=""),"",J289+K289+L289)</f>
        <v/>
      </c>
      <c r="N289" s="11" t="inlineStr">
        <is>
          <t>Main</t>
        </is>
      </c>
      <c r="O289" s="12" t="inlineStr">
        <is>
          <t>/compare/dx</t>
        </is>
      </c>
      <c r="P289" s="12" t="inlineStr">
        <is>
          <t>Compare</t>
        </is>
      </c>
      <c r="Q289" s="14" t="n"/>
      <c r="R289" s="14" t="n"/>
      <c r="S289" s="14" t="n"/>
      <c r="T289" s="12" t="inlineStr">
        <is>
          <t>Not started</t>
        </is>
      </c>
      <c r="U289" s="12" t="inlineStr"/>
    </row>
    <row r="290">
      <c r="A290" s="11" t="n">
        <v>289</v>
      </c>
      <c r="B290" s="12" t="inlineStr">
        <is>
          <t>can companies track ai usage</t>
        </is>
      </c>
      <c r="C290" s="17" t="inlineStr">
        <is>
          <t>AEO</t>
        </is>
      </c>
      <c r="D290" s="12" t="inlineStr">
        <is>
          <t>Google Autocomplete (question)</t>
        </is>
      </c>
      <c r="E290" s="12" t="inlineStr">
        <is>
          <t>Category</t>
        </is>
      </c>
      <c r="F290" s="13" t="n"/>
      <c r="G290" s="13" t="n"/>
      <c r="H290" s="14" t="n"/>
      <c r="I290" s="12" t="inlineStr">
        <is>
          <t>Commercial</t>
        </is>
      </c>
      <c r="J290" s="15" t="n">
        <v>3</v>
      </c>
      <c r="K290" s="16">
        <f>IF(I290="","",IF(I290="Transactional",3,IF(I290="Commercial",2,1)))</f>
        <v/>
      </c>
      <c r="L290" s="16">
        <f>IF(G290="","",IF(G290&lt;=20,3,IF(G290&lt;=50,2,1)))</f>
        <v/>
      </c>
      <c r="M290" s="16">
        <f>IF(OR(J290="",K290="",L290=""),"",J290+K290+L290)</f>
        <v/>
      </c>
      <c r="N290" s="11" t="inlineStr">
        <is>
          <t>FAQ</t>
        </is>
      </c>
      <c r="O290" s="12" t="inlineStr">
        <is>
          <t>/ai-coding-analytics</t>
        </is>
      </c>
      <c r="P290" s="12" t="inlineStr">
        <is>
          <t>Solution</t>
        </is>
      </c>
      <c r="Q290" s="14" t="n"/>
      <c r="R290" s="14" t="n"/>
      <c r="S290" s="14" t="n"/>
      <c r="T290" s="12" t="inlineStr">
        <is>
          <t>Not started</t>
        </is>
      </c>
      <c r="U290" s="12" t="inlineStr">
        <is>
          <t>Real Google question; answer it in this page's FAQ or as an H2</t>
        </is>
      </c>
    </row>
    <row r="291">
      <c r="A291" s="11" t="n">
        <v>290</v>
      </c>
      <c r="B291" s="12" t="inlineStr">
        <is>
          <t>do companies track ai usage</t>
        </is>
      </c>
      <c r="C291" s="17" t="inlineStr">
        <is>
          <t>AEO</t>
        </is>
      </c>
      <c r="D291" s="12" t="inlineStr">
        <is>
          <t>Google Autocomplete (question)</t>
        </is>
      </c>
      <c r="E291" s="12" t="inlineStr">
        <is>
          <t>Category</t>
        </is>
      </c>
      <c r="F291" s="13" t="n"/>
      <c r="G291" s="13" t="n"/>
      <c r="H291" s="14" t="n"/>
      <c r="I291" s="12" t="inlineStr">
        <is>
          <t>Commercial</t>
        </is>
      </c>
      <c r="J291" s="15" t="n">
        <v>3</v>
      </c>
      <c r="K291" s="16">
        <f>IF(I291="","",IF(I291="Transactional",3,IF(I291="Commercial",2,1)))</f>
        <v/>
      </c>
      <c r="L291" s="16">
        <f>IF(G291="","",IF(G291&lt;=20,3,IF(G291&lt;=50,2,1)))</f>
        <v/>
      </c>
      <c r="M291" s="16">
        <f>IF(OR(J291="",K291="",L291=""),"",J291+K291+L291)</f>
        <v/>
      </c>
      <c r="N291" s="11" t="inlineStr">
        <is>
          <t>FAQ</t>
        </is>
      </c>
      <c r="O291" s="12" t="inlineStr">
        <is>
          <t>/ai-coding-analytics</t>
        </is>
      </c>
      <c r="P291" s="12" t="inlineStr">
        <is>
          <t>Solution</t>
        </is>
      </c>
      <c r="Q291" s="14" t="n"/>
      <c r="R291" s="14" t="n"/>
      <c r="S291" s="14" t="n"/>
      <c r="T291" s="12" t="inlineStr">
        <is>
          <t>Not started</t>
        </is>
      </c>
      <c r="U291" s="12" t="inlineStr">
        <is>
          <t>Real Google question; answer it in this page's FAQ or as an H2</t>
        </is>
      </c>
    </row>
    <row r="292">
      <c r="A292" s="11" t="n">
        <v>291</v>
      </c>
      <c r="B292" s="12" t="inlineStr">
        <is>
          <t>how do companies track ai usage</t>
        </is>
      </c>
      <c r="C292" s="17" t="inlineStr">
        <is>
          <t>AEO</t>
        </is>
      </c>
      <c r="D292" s="12" t="inlineStr">
        <is>
          <t>Google Autocomplete (question)</t>
        </is>
      </c>
      <c r="E292" s="12" t="inlineStr">
        <is>
          <t>Category</t>
        </is>
      </c>
      <c r="F292" s="13" t="n"/>
      <c r="G292" s="13" t="n"/>
      <c r="H292" s="14" t="n"/>
      <c r="I292" s="12" t="inlineStr">
        <is>
          <t>Commercial</t>
        </is>
      </c>
      <c r="J292" s="15" t="n">
        <v>3</v>
      </c>
      <c r="K292" s="16">
        <f>IF(I292="","",IF(I292="Transactional",3,IF(I292="Commercial",2,1)))</f>
        <v/>
      </c>
      <c r="L292" s="16">
        <f>IF(G292="","",IF(G292&lt;=20,3,IF(G292&lt;=50,2,1)))</f>
        <v/>
      </c>
      <c r="M292" s="16">
        <f>IF(OR(J292="",K292="",L292=""),"",J292+K292+L292)</f>
        <v/>
      </c>
      <c r="N292" s="11" t="inlineStr">
        <is>
          <t>FAQ</t>
        </is>
      </c>
      <c r="O292" s="12" t="inlineStr">
        <is>
          <t>/ai-coding-analytics</t>
        </is>
      </c>
      <c r="P292" s="12" t="inlineStr">
        <is>
          <t>Solution</t>
        </is>
      </c>
      <c r="Q292" s="14" t="n"/>
      <c r="R292" s="14" t="n"/>
      <c r="S292" s="14" t="n"/>
      <c r="T292" s="12" t="inlineStr">
        <is>
          <t>Not started</t>
        </is>
      </c>
      <c r="U292" s="12" t="inlineStr">
        <is>
          <t>Real Google question; answer it in this page's FAQ or as an H2</t>
        </is>
      </c>
    </row>
    <row r="293">
      <c r="A293" s="11" t="n">
        <v>292</v>
      </c>
      <c r="B293" s="12" t="inlineStr">
        <is>
          <t>how to track ai usage</t>
        </is>
      </c>
      <c r="C293" s="17" t="inlineStr">
        <is>
          <t>AEO</t>
        </is>
      </c>
      <c r="D293" s="12" t="inlineStr">
        <is>
          <t>Google Autocomplete (question)</t>
        </is>
      </c>
      <c r="E293" s="12" t="inlineStr">
        <is>
          <t>Category</t>
        </is>
      </c>
      <c r="F293" s="13" t="n"/>
      <c r="G293" s="13" t="n"/>
      <c r="H293" s="14" t="n"/>
      <c r="I293" s="12" t="inlineStr">
        <is>
          <t>Commercial</t>
        </is>
      </c>
      <c r="J293" s="15" t="n">
        <v>3</v>
      </c>
      <c r="K293" s="16">
        <f>IF(I293="","",IF(I293="Transactional",3,IF(I293="Commercial",2,1)))</f>
        <v/>
      </c>
      <c r="L293" s="16">
        <f>IF(G293="","",IF(G293&lt;=20,3,IF(G293&lt;=50,2,1)))</f>
        <v/>
      </c>
      <c r="M293" s="16">
        <f>IF(OR(J293="",K293="",L293=""),"",J293+K293+L293)</f>
        <v/>
      </c>
      <c r="N293" s="11" t="inlineStr">
        <is>
          <t>FAQ</t>
        </is>
      </c>
      <c r="O293" s="12" t="inlineStr">
        <is>
          <t>/ai-coding-analytics</t>
        </is>
      </c>
      <c r="P293" s="12" t="inlineStr">
        <is>
          <t>Solution</t>
        </is>
      </c>
      <c r="Q293" s="14" t="n"/>
      <c r="R293" s="14" t="n"/>
      <c r="S293" s="14" t="n"/>
      <c r="T293" s="12" t="inlineStr">
        <is>
          <t>Not started</t>
        </is>
      </c>
      <c r="U293" s="12" t="inlineStr">
        <is>
          <t>Real Google question; answer it in this page's FAQ or as an H2</t>
        </is>
      </c>
    </row>
    <row r="294">
      <c r="A294" s="11" t="n">
        <v>293</v>
      </c>
      <c r="B294" s="12" t="inlineStr">
        <is>
          <t>can you track copilot usage</t>
        </is>
      </c>
      <c r="C294" s="17" t="inlineStr">
        <is>
          <t>AEO</t>
        </is>
      </c>
      <c r="D294" s="12" t="inlineStr">
        <is>
          <t>Google Autocomplete (question)</t>
        </is>
      </c>
      <c r="E294" s="12" t="inlineStr">
        <is>
          <t>Tool: GitHub Copilot</t>
        </is>
      </c>
      <c r="F294" s="13" t="n"/>
      <c r="G294" s="13" t="n"/>
      <c r="H294" s="14" t="n"/>
      <c r="I294" s="12" t="inlineStr">
        <is>
          <t>Commercial</t>
        </is>
      </c>
      <c r="J294" s="15" t="n">
        <v>3</v>
      </c>
      <c r="K294" s="16">
        <f>IF(I294="","",IF(I294="Transactional",3,IF(I294="Commercial",2,1)))</f>
        <v/>
      </c>
      <c r="L294" s="16">
        <f>IF(G294="","",IF(G294&lt;=20,3,IF(G294&lt;=50,2,1)))</f>
        <v/>
      </c>
      <c r="M294" s="16">
        <f>IF(OR(J294="",K294="",L294=""),"",J294+K294+L294)</f>
        <v/>
      </c>
      <c r="N294" s="11" t="inlineStr">
        <is>
          <t>FAQ</t>
        </is>
      </c>
      <c r="O294" s="12" t="inlineStr">
        <is>
          <t>/integrations/github-copilot</t>
        </is>
      </c>
      <c r="P294" s="12" t="inlineStr">
        <is>
          <t>Integration</t>
        </is>
      </c>
      <c r="Q294" s="14" t="n"/>
      <c r="R294" s="14" t="n"/>
      <c r="S294" s="14" t="n"/>
      <c r="T294" s="12" t="inlineStr">
        <is>
          <t>Not started</t>
        </is>
      </c>
      <c r="U294" s="12" t="inlineStr">
        <is>
          <t>Real Google question; answer it in this page's FAQ or as an H2</t>
        </is>
      </c>
    </row>
    <row r="295">
      <c r="A295" s="11" t="n">
        <v>294</v>
      </c>
      <c r="B295" s="12" t="inlineStr">
        <is>
          <t>can copilot usage be tracked</t>
        </is>
      </c>
      <c r="C295" s="17" t="inlineStr">
        <is>
          <t>AEO</t>
        </is>
      </c>
      <c r="D295" s="12" t="inlineStr">
        <is>
          <t>Google Autocomplete (question)</t>
        </is>
      </c>
      <c r="E295" s="12" t="inlineStr">
        <is>
          <t>Tool: GitHub Copilot</t>
        </is>
      </c>
      <c r="F295" s="13" t="n"/>
      <c r="G295" s="13" t="n"/>
      <c r="H295" s="14" t="n"/>
      <c r="I295" s="12" t="inlineStr">
        <is>
          <t>Commercial</t>
        </is>
      </c>
      <c r="J295" s="15" t="n">
        <v>3</v>
      </c>
      <c r="K295" s="16">
        <f>IF(I295="","",IF(I295="Transactional",3,IF(I295="Commercial",2,1)))</f>
        <v/>
      </c>
      <c r="L295" s="16">
        <f>IF(G295="","",IF(G295&lt;=20,3,IF(G295&lt;=50,2,1)))</f>
        <v/>
      </c>
      <c r="M295" s="16">
        <f>IF(OR(J295="",K295="",L295=""),"",J295+K295+L295)</f>
        <v/>
      </c>
      <c r="N295" s="11" t="inlineStr">
        <is>
          <t>FAQ</t>
        </is>
      </c>
      <c r="O295" s="12" t="inlineStr">
        <is>
          <t>/integrations/github-copilot</t>
        </is>
      </c>
      <c r="P295" s="12" t="inlineStr">
        <is>
          <t>Integration</t>
        </is>
      </c>
      <c r="Q295" s="14" t="n"/>
      <c r="R295" s="14" t="n"/>
      <c r="S295" s="14" t="n"/>
      <c r="T295" s="12" t="inlineStr">
        <is>
          <t>Not started</t>
        </is>
      </c>
      <c r="U295" s="12" t="inlineStr">
        <is>
          <t>Real Google question; answer it in this page's FAQ or as an H2</t>
        </is>
      </c>
    </row>
    <row r="296">
      <c r="A296" s="11" t="n">
        <v>295</v>
      </c>
      <c r="B296" s="12" t="inlineStr">
        <is>
          <t>how to get copilot usage report</t>
        </is>
      </c>
      <c r="C296" s="17" t="inlineStr">
        <is>
          <t>AEO</t>
        </is>
      </c>
      <c r="D296" s="12" t="inlineStr">
        <is>
          <t>Google Autocomplete (question)</t>
        </is>
      </c>
      <c r="E296" s="12" t="inlineStr">
        <is>
          <t>Tool: GitHub Copilot</t>
        </is>
      </c>
      <c r="F296" s="13" t="n"/>
      <c r="G296" s="13" t="n"/>
      <c r="H296" s="14" t="n"/>
      <c r="I296" s="12" t="inlineStr">
        <is>
          <t>Commercial</t>
        </is>
      </c>
      <c r="J296" s="15" t="n">
        <v>3</v>
      </c>
      <c r="K296" s="16">
        <f>IF(I296="","",IF(I296="Transactional",3,IF(I296="Commercial",2,1)))</f>
        <v/>
      </c>
      <c r="L296" s="16">
        <f>IF(G296="","",IF(G296&lt;=20,3,IF(G296&lt;=50,2,1)))</f>
        <v/>
      </c>
      <c r="M296" s="16">
        <f>IF(OR(J296="",K296="",L296=""),"",J296+K296+L296)</f>
        <v/>
      </c>
      <c r="N296" s="11" t="inlineStr">
        <is>
          <t>FAQ</t>
        </is>
      </c>
      <c r="O296" s="12" t="inlineStr">
        <is>
          <t>/integrations/github-copilot</t>
        </is>
      </c>
      <c r="P296" s="12" t="inlineStr">
        <is>
          <t>Integration</t>
        </is>
      </c>
      <c r="Q296" s="14" t="n"/>
      <c r="R296" s="14" t="n"/>
      <c r="S296" s="14" t="n"/>
      <c r="T296" s="12" t="inlineStr">
        <is>
          <t>Not started</t>
        </is>
      </c>
      <c r="U296" s="12" t="inlineStr">
        <is>
          <t>Real Google question; answer it in this page's FAQ or as an H2</t>
        </is>
      </c>
    </row>
    <row r="297">
      <c r="A297" s="11" t="n">
        <v>296</v>
      </c>
      <c r="B297" s="12" t="inlineStr">
        <is>
          <t>how to get github copilot usage metrics</t>
        </is>
      </c>
      <c r="C297" s="17" t="inlineStr">
        <is>
          <t>AEO</t>
        </is>
      </c>
      <c r="D297" s="12" t="inlineStr">
        <is>
          <t>Google Autocomplete (question)</t>
        </is>
      </c>
      <c r="E297" s="12" t="inlineStr">
        <is>
          <t>Tool: GitHub Copilot</t>
        </is>
      </c>
      <c r="F297" s="13" t="n"/>
      <c r="G297" s="13" t="n"/>
      <c r="H297" s="14" t="n"/>
      <c r="I297" s="12" t="inlineStr">
        <is>
          <t>Commercial</t>
        </is>
      </c>
      <c r="J297" s="15" t="n">
        <v>3</v>
      </c>
      <c r="K297" s="16">
        <f>IF(I297="","",IF(I297="Transactional",3,IF(I297="Commercial",2,1)))</f>
        <v/>
      </c>
      <c r="L297" s="16">
        <f>IF(G297="","",IF(G297&lt;=20,3,IF(G297&lt;=50,2,1)))</f>
        <v/>
      </c>
      <c r="M297" s="16">
        <f>IF(OR(J297="",K297="",L297=""),"",J297+K297+L297)</f>
        <v/>
      </c>
      <c r="N297" s="11" t="inlineStr">
        <is>
          <t>FAQ</t>
        </is>
      </c>
      <c r="O297" s="12" t="inlineStr">
        <is>
          <t>/integrations/github-copilot</t>
        </is>
      </c>
      <c r="P297" s="12" t="inlineStr">
        <is>
          <t>Integration</t>
        </is>
      </c>
      <c r="Q297" s="14" t="n"/>
      <c r="R297" s="14" t="n"/>
      <c r="S297" s="14" t="n"/>
      <c r="T297" s="12" t="inlineStr">
        <is>
          <t>Not started</t>
        </is>
      </c>
      <c r="U297" s="12" t="inlineStr">
        <is>
          <t>Real Google question; answer it in this page's FAQ or as an H2</t>
        </is>
      </c>
    </row>
    <row r="298">
      <c r="A298" s="11" t="n">
        <v>297</v>
      </c>
      <c r="B298" s="12" t="inlineStr">
        <is>
          <t>does github copilot have usage limits</t>
        </is>
      </c>
      <c r="C298" s="17" t="inlineStr">
        <is>
          <t>AEO</t>
        </is>
      </c>
      <c r="D298" s="12" t="inlineStr">
        <is>
          <t>Google Autocomplete (question)</t>
        </is>
      </c>
      <c r="E298" s="12" t="inlineStr">
        <is>
          <t>Tool: GitHub Copilot</t>
        </is>
      </c>
      <c r="F298" s="13" t="n"/>
      <c r="G298" s="13" t="n"/>
      <c r="H298" s="14" t="n"/>
      <c r="I298" s="12" t="inlineStr">
        <is>
          <t>Informational</t>
        </is>
      </c>
      <c r="J298" s="15" t="n">
        <v>2</v>
      </c>
      <c r="K298" s="16">
        <f>IF(I298="","",IF(I298="Transactional",3,IF(I298="Commercial",2,1)))</f>
        <v/>
      </c>
      <c r="L298" s="16">
        <f>IF(G298="","",IF(G298&lt;=20,3,IF(G298&lt;=50,2,1)))</f>
        <v/>
      </c>
      <c r="M298" s="16">
        <f>IF(OR(J298="",K298="",L298=""),"",J298+K298+L298)</f>
        <v/>
      </c>
      <c r="N298" s="11" t="inlineStr">
        <is>
          <t>FAQ</t>
        </is>
      </c>
      <c r="O298" s="12" t="inlineStr">
        <is>
          <t>/integrations/github-copilot</t>
        </is>
      </c>
      <c r="P298" s="12" t="inlineStr">
        <is>
          <t>Integration</t>
        </is>
      </c>
      <c r="Q298" s="14" t="n"/>
      <c r="R298" s="14" t="n"/>
      <c r="S298" s="14" t="n"/>
      <c r="T298" s="12" t="inlineStr">
        <is>
          <t>Not started</t>
        </is>
      </c>
      <c r="U298" s="12" t="inlineStr">
        <is>
          <t>Real Google question; answer it in this page's FAQ or as an H2</t>
        </is>
      </c>
    </row>
    <row r="299">
      <c r="A299" s="11" t="n">
        <v>298</v>
      </c>
      <c r="B299" s="12" t="inlineStr">
        <is>
          <t>how does claude code team plan work</t>
        </is>
      </c>
      <c r="C299" s="17" t="inlineStr">
        <is>
          <t>AEO</t>
        </is>
      </c>
      <c r="D299" s="12" t="inlineStr">
        <is>
          <t>Google Autocomplete (question)</t>
        </is>
      </c>
      <c r="E299" s="12" t="inlineStr">
        <is>
          <t>Tool: Claude Code</t>
        </is>
      </c>
      <c r="F299" s="13" t="n"/>
      <c r="G299" s="13" t="n"/>
      <c r="H299" s="14" t="n"/>
      <c r="I299" s="12" t="inlineStr">
        <is>
          <t>Informational</t>
        </is>
      </c>
      <c r="J299" s="15" t="n">
        <v>2</v>
      </c>
      <c r="K299" s="16">
        <f>IF(I299="","",IF(I299="Transactional",3,IF(I299="Commercial",2,1)))</f>
        <v/>
      </c>
      <c r="L299" s="16">
        <f>IF(G299="","",IF(G299&lt;=20,3,IF(G299&lt;=50,2,1)))</f>
        <v/>
      </c>
      <c r="M299" s="16">
        <f>IF(OR(J299="",K299="",L299=""),"",J299+K299+L299)</f>
        <v/>
      </c>
      <c r="N299" s="11" t="inlineStr">
        <is>
          <t>FAQ</t>
        </is>
      </c>
      <c r="O299" s="12" t="inlineStr">
        <is>
          <t>/integrations/claude-code</t>
        </is>
      </c>
      <c r="P299" s="12" t="inlineStr">
        <is>
          <t>Integration</t>
        </is>
      </c>
      <c r="Q299" s="14" t="n"/>
      <c r="R299" s="14" t="n"/>
      <c r="S299" s="14" t="n"/>
      <c r="T299" s="12" t="inlineStr">
        <is>
          <t>Not started</t>
        </is>
      </c>
      <c r="U299" s="12" t="inlineStr">
        <is>
          <t>Real Google question; answer it in this page's FAQ or as an H2</t>
        </is>
      </c>
    </row>
    <row r="300">
      <c r="A300" s="11" t="n">
        <v>299</v>
      </c>
      <c r="B300" s="12" t="inlineStr">
        <is>
          <t>is claude code available for teams</t>
        </is>
      </c>
      <c r="C300" s="17" t="inlineStr">
        <is>
          <t>AEO</t>
        </is>
      </c>
      <c r="D300" s="12" t="inlineStr">
        <is>
          <t>Google Autocomplete (question)</t>
        </is>
      </c>
      <c r="E300" s="12" t="inlineStr">
        <is>
          <t>Tool: Claude Code</t>
        </is>
      </c>
      <c r="F300" s="13" t="n"/>
      <c r="G300" s="13" t="n"/>
      <c r="H300" s="14" t="n"/>
      <c r="I300" s="12" t="inlineStr">
        <is>
          <t>Informational</t>
        </is>
      </c>
      <c r="J300" s="15" t="n">
        <v>2</v>
      </c>
      <c r="K300" s="16">
        <f>IF(I300="","",IF(I300="Transactional",3,IF(I300="Commercial",2,1)))</f>
        <v/>
      </c>
      <c r="L300" s="16">
        <f>IF(G300="","",IF(G300&lt;=20,3,IF(G300&lt;=50,2,1)))</f>
        <v/>
      </c>
      <c r="M300" s="16">
        <f>IF(OR(J300="",K300="",L300=""),"",J300+K300+L300)</f>
        <v/>
      </c>
      <c r="N300" s="11" t="inlineStr">
        <is>
          <t>FAQ</t>
        </is>
      </c>
      <c r="O300" s="12" t="inlineStr">
        <is>
          <t>/integrations/claude-code</t>
        </is>
      </c>
      <c r="P300" s="12" t="inlineStr">
        <is>
          <t>Integration</t>
        </is>
      </c>
      <c r="Q300" s="14" t="n"/>
      <c r="R300" s="14" t="n"/>
      <c r="S300" s="14" t="n"/>
      <c r="T300" s="12" t="inlineStr">
        <is>
          <t>Not started</t>
        </is>
      </c>
      <c r="U300" s="12" t="inlineStr">
        <is>
          <t>Real Google question; answer it in this page's FAQ or as an H2</t>
        </is>
      </c>
    </row>
    <row r="301">
      <c r="A301" s="11" t="n">
        <v>300</v>
      </c>
      <c r="B301" s="12" t="inlineStr">
        <is>
          <t>is claude code included in team plan</t>
        </is>
      </c>
      <c r="C301" s="17" t="inlineStr">
        <is>
          <t>AEO</t>
        </is>
      </c>
      <c r="D301" s="12" t="inlineStr">
        <is>
          <t>Google Autocomplete (question)</t>
        </is>
      </c>
      <c r="E301" s="12" t="inlineStr">
        <is>
          <t>Tool: Claude Code</t>
        </is>
      </c>
      <c r="F301" s="13" t="n"/>
      <c r="G301" s="13" t="n"/>
      <c r="H301" s="14" t="n"/>
      <c r="I301" s="12" t="inlineStr">
        <is>
          <t>Informational</t>
        </is>
      </c>
      <c r="J301" s="15" t="n">
        <v>2</v>
      </c>
      <c r="K301" s="16">
        <f>IF(I301="","",IF(I301="Transactional",3,IF(I301="Commercial",2,1)))</f>
        <v/>
      </c>
      <c r="L301" s="16">
        <f>IF(G301="","",IF(G301&lt;=20,3,IF(G301&lt;=50,2,1)))</f>
        <v/>
      </c>
      <c r="M301" s="16">
        <f>IF(OR(J301="",K301="",L301=""),"",J301+K301+L301)</f>
        <v/>
      </c>
      <c r="N301" s="11" t="inlineStr">
        <is>
          <t>FAQ</t>
        </is>
      </c>
      <c r="O301" s="12" t="inlineStr">
        <is>
          <t>/integrations/claude-code</t>
        </is>
      </c>
      <c r="P301" s="12" t="inlineStr">
        <is>
          <t>Integration</t>
        </is>
      </c>
      <c r="Q301" s="14" t="n"/>
      <c r="R301" s="14" t="n"/>
      <c r="S301" s="14" t="n"/>
      <c r="T301" s="12" t="inlineStr">
        <is>
          <t>Not started</t>
        </is>
      </c>
      <c r="U301" s="12" t="inlineStr">
        <is>
          <t>Real Google question; answer it in this page's FAQ or as an H2</t>
        </is>
      </c>
    </row>
    <row r="302">
      <c r="A302" s="11" t="n">
        <v>301</v>
      </c>
      <c r="B302" s="12" t="inlineStr">
        <is>
          <t>how to setup claude code team</t>
        </is>
      </c>
      <c r="C302" s="17" t="inlineStr">
        <is>
          <t>AEO</t>
        </is>
      </c>
      <c r="D302" s="12" t="inlineStr">
        <is>
          <t>Google Autocomplete (question)</t>
        </is>
      </c>
      <c r="E302" s="12" t="inlineStr">
        <is>
          <t>Tool: Claude Code</t>
        </is>
      </c>
      <c r="F302" s="13" t="n"/>
      <c r="G302" s="13" t="n"/>
      <c r="H302" s="14" t="n"/>
      <c r="I302" s="12" t="inlineStr">
        <is>
          <t>Informational</t>
        </is>
      </c>
      <c r="J302" s="15" t="n">
        <v>2</v>
      </c>
      <c r="K302" s="16">
        <f>IF(I302="","",IF(I302="Transactional",3,IF(I302="Commercial",2,1)))</f>
        <v/>
      </c>
      <c r="L302" s="16">
        <f>IF(G302="","",IF(G302&lt;=20,3,IF(G302&lt;=50,2,1)))</f>
        <v/>
      </c>
      <c r="M302" s="16">
        <f>IF(OR(J302="",K302="",L302=""),"",J302+K302+L302)</f>
        <v/>
      </c>
      <c r="N302" s="11" t="inlineStr">
        <is>
          <t>FAQ</t>
        </is>
      </c>
      <c r="O302" s="12" t="inlineStr">
        <is>
          <t>/integrations/claude-code</t>
        </is>
      </c>
      <c r="P302" s="12" t="inlineStr">
        <is>
          <t>Integration</t>
        </is>
      </c>
      <c r="Q302" s="14" t="n"/>
      <c r="R302" s="14" t="n"/>
      <c r="S302" s="14" t="n"/>
      <c r="T302" s="12" t="inlineStr">
        <is>
          <t>Not started</t>
        </is>
      </c>
      <c r="U302" s="12" t="inlineStr">
        <is>
          <t>Real Google question; answer it in this page's FAQ or as an H2</t>
        </is>
      </c>
    </row>
    <row r="303">
      <c r="A303" s="11" t="n">
        <v>302</v>
      </c>
      <c r="B303" s="12" t="inlineStr">
        <is>
          <t>is cursor teams worth it</t>
        </is>
      </c>
      <c r="C303" s="17" t="inlineStr">
        <is>
          <t>AEO</t>
        </is>
      </c>
      <c r="D303" s="12" t="inlineStr">
        <is>
          <t>Google Autocomplete (question)</t>
        </is>
      </c>
      <c r="E303" s="12" t="inlineStr">
        <is>
          <t>Tool: Cursor</t>
        </is>
      </c>
      <c r="F303" s="13" t="n"/>
      <c r="G303" s="13" t="n"/>
      <c r="H303" s="14" t="n"/>
      <c r="I303" s="12" t="inlineStr">
        <is>
          <t>Commercial</t>
        </is>
      </c>
      <c r="J303" s="15" t="n">
        <v>2</v>
      </c>
      <c r="K303" s="16">
        <f>IF(I303="","",IF(I303="Transactional",3,IF(I303="Commercial",2,1)))</f>
        <v/>
      </c>
      <c r="L303" s="16">
        <f>IF(G303="","",IF(G303&lt;=20,3,IF(G303&lt;=50,2,1)))</f>
        <v/>
      </c>
      <c r="M303" s="16">
        <f>IF(OR(J303="",K303="",L303=""),"",J303+K303+L303)</f>
        <v/>
      </c>
      <c r="N303" s="11" t="inlineStr">
        <is>
          <t>FAQ</t>
        </is>
      </c>
      <c r="O303" s="12" t="inlineStr">
        <is>
          <t>/integrations/cursor</t>
        </is>
      </c>
      <c r="P303" s="12" t="inlineStr">
        <is>
          <t>Integration</t>
        </is>
      </c>
      <c r="Q303" s="14" t="n"/>
      <c r="R303" s="14" t="n"/>
      <c r="S303" s="14" t="n"/>
      <c r="T303" s="12" t="inlineStr">
        <is>
          <t>Not started</t>
        </is>
      </c>
      <c r="U303" s="12" t="inlineStr">
        <is>
          <t>Real Google question; answer it in this page's FAQ or as an H2</t>
        </is>
      </c>
    </row>
    <row r="304">
      <c r="A304" s="11" t="n">
        <v>303</v>
      </c>
      <c r="B304" s="12" t="inlineStr">
        <is>
          <t>how does cursor team plan work</t>
        </is>
      </c>
      <c r="C304" s="17" t="inlineStr">
        <is>
          <t>AEO</t>
        </is>
      </c>
      <c r="D304" s="12" t="inlineStr">
        <is>
          <t>Google Autocomplete (question)</t>
        </is>
      </c>
      <c r="E304" s="12" t="inlineStr">
        <is>
          <t>Tool: Cursor</t>
        </is>
      </c>
      <c r="F304" s="13" t="n"/>
      <c r="G304" s="13" t="n"/>
      <c r="H304" s="14" t="n"/>
      <c r="I304" s="12" t="inlineStr">
        <is>
          <t>Informational</t>
        </is>
      </c>
      <c r="J304" s="15" t="n">
        <v>2</v>
      </c>
      <c r="K304" s="16">
        <f>IF(I304="","",IF(I304="Transactional",3,IF(I304="Commercial",2,1)))</f>
        <v/>
      </c>
      <c r="L304" s="16">
        <f>IF(G304="","",IF(G304&lt;=20,3,IF(G304&lt;=50,2,1)))</f>
        <v/>
      </c>
      <c r="M304" s="16">
        <f>IF(OR(J304="",K304="",L304=""),"",J304+K304+L304)</f>
        <v/>
      </c>
      <c r="N304" s="11" t="inlineStr">
        <is>
          <t>FAQ</t>
        </is>
      </c>
      <c r="O304" s="12" t="inlineStr">
        <is>
          <t>/integrations/cursor</t>
        </is>
      </c>
      <c r="P304" s="12" t="inlineStr">
        <is>
          <t>Integration</t>
        </is>
      </c>
      <c r="Q304" s="14" t="n"/>
      <c r="R304" s="14" t="n"/>
      <c r="S304" s="14" t="n"/>
      <c r="T304" s="12" t="inlineStr">
        <is>
          <t>Not started</t>
        </is>
      </c>
      <c r="U304" s="12" t="inlineStr">
        <is>
          <t>Real Google question; answer it in this page's FAQ or as an H2</t>
        </is>
      </c>
    </row>
    <row r="305">
      <c r="A305" s="11" t="n">
        <v>304</v>
      </c>
      <c r="B305" s="12" t="inlineStr">
        <is>
          <t>does cursor usage reset daily</t>
        </is>
      </c>
      <c r="C305" s="17" t="inlineStr">
        <is>
          <t>AEO</t>
        </is>
      </c>
      <c r="D305" s="12" t="inlineStr">
        <is>
          <t>Google Autocomplete (question)</t>
        </is>
      </c>
      <c r="E305" s="12" t="inlineStr">
        <is>
          <t>Tool: Cursor</t>
        </is>
      </c>
      <c r="F305" s="13" t="n"/>
      <c r="G305" s="13" t="n"/>
      <c r="H305" s="14" t="n"/>
      <c r="I305" s="12" t="inlineStr">
        <is>
          <t>Informational</t>
        </is>
      </c>
      <c r="J305" s="15" t="n">
        <v>2</v>
      </c>
      <c r="K305" s="16">
        <f>IF(I305="","",IF(I305="Transactional",3,IF(I305="Commercial",2,1)))</f>
        <v/>
      </c>
      <c r="L305" s="16">
        <f>IF(G305="","",IF(G305&lt;=20,3,IF(G305&lt;=50,2,1)))</f>
        <v/>
      </c>
      <c r="M305" s="16">
        <f>IF(OR(J305="",K305="",L305=""),"",J305+K305+L305)</f>
        <v/>
      </c>
      <c r="N305" s="11" t="inlineStr">
        <is>
          <t>FAQ</t>
        </is>
      </c>
      <c r="O305" s="12" t="inlineStr">
        <is>
          <t>/integrations/cursor</t>
        </is>
      </c>
      <c r="P305" s="12" t="inlineStr">
        <is>
          <t>Integration</t>
        </is>
      </c>
      <c r="Q305" s="14" t="n"/>
      <c r="R305" s="14" t="n"/>
      <c r="S305" s="14" t="n"/>
      <c r="T305" s="12" t="inlineStr">
        <is>
          <t>Not started</t>
        </is>
      </c>
      <c r="U305" s="12" t="inlineStr">
        <is>
          <t>Real Google question; answer it in this page's FAQ or as an H2</t>
        </is>
      </c>
    </row>
    <row r="306">
      <c r="A306" s="11" t="n">
        <v>305</v>
      </c>
      <c r="B306" s="12" t="inlineStr">
        <is>
          <t>how is cursor usage calculated</t>
        </is>
      </c>
      <c r="C306" s="17" t="inlineStr">
        <is>
          <t>AEO</t>
        </is>
      </c>
      <c r="D306" s="12" t="inlineStr">
        <is>
          <t>Google Autocomplete (question)</t>
        </is>
      </c>
      <c r="E306" s="12" t="inlineStr">
        <is>
          <t>Tool: Cursor</t>
        </is>
      </c>
      <c r="F306" s="13" t="n"/>
      <c r="G306" s="13" t="n"/>
      <c r="H306" s="14" t="n"/>
      <c r="I306" s="12" t="inlineStr">
        <is>
          <t>Informational</t>
        </is>
      </c>
      <c r="J306" s="15" t="n">
        <v>2</v>
      </c>
      <c r="K306" s="16">
        <f>IF(I306="","",IF(I306="Transactional",3,IF(I306="Commercial",2,1)))</f>
        <v/>
      </c>
      <c r="L306" s="16">
        <f>IF(G306="","",IF(G306&lt;=20,3,IF(G306&lt;=50,2,1)))</f>
        <v/>
      </c>
      <c r="M306" s="16">
        <f>IF(OR(J306="",K306="",L306=""),"",J306+K306+L306)</f>
        <v/>
      </c>
      <c r="N306" s="11" t="inlineStr">
        <is>
          <t>FAQ</t>
        </is>
      </c>
      <c r="O306" s="12" t="inlineStr">
        <is>
          <t>/integrations/cursor</t>
        </is>
      </c>
      <c r="P306" s="12" t="inlineStr">
        <is>
          <t>Integration</t>
        </is>
      </c>
      <c r="Q306" s="14" t="n"/>
      <c r="R306" s="14" t="n"/>
      <c r="S306" s="14" t="n"/>
      <c r="T306" s="12" t="inlineStr">
        <is>
          <t>Not started</t>
        </is>
      </c>
      <c r="U306" s="12" t="inlineStr">
        <is>
          <t>Real Google question; answer it in this page's FAQ or as an H2</t>
        </is>
      </c>
    </row>
    <row r="307">
      <c r="A307" s="11" t="n">
        <v>306</v>
      </c>
      <c r="B307" s="12" t="inlineStr">
        <is>
          <t>how do codex usage limits work</t>
        </is>
      </c>
      <c r="C307" s="17" t="inlineStr">
        <is>
          <t>AEO</t>
        </is>
      </c>
      <c r="D307" s="12" t="inlineStr">
        <is>
          <t>Google Autocomplete (question)</t>
        </is>
      </c>
      <c r="E307" s="12" t="inlineStr">
        <is>
          <t>Tool: Codex</t>
        </is>
      </c>
      <c r="F307" s="13" t="n"/>
      <c r="G307" s="13" t="n"/>
      <c r="H307" s="14" t="n"/>
      <c r="I307" s="12" t="inlineStr">
        <is>
          <t>Informational</t>
        </is>
      </c>
      <c r="J307" s="15" t="n">
        <v>2</v>
      </c>
      <c r="K307" s="16">
        <f>IF(I307="","",IF(I307="Transactional",3,IF(I307="Commercial",2,1)))</f>
        <v/>
      </c>
      <c r="L307" s="16">
        <f>IF(G307="","",IF(G307&lt;=20,3,IF(G307&lt;=50,2,1)))</f>
        <v/>
      </c>
      <c r="M307" s="16">
        <f>IF(OR(J307="",K307="",L307=""),"",J307+K307+L307)</f>
        <v/>
      </c>
      <c r="N307" s="11" t="inlineStr">
        <is>
          <t>FAQ</t>
        </is>
      </c>
      <c r="O307" s="12" t="inlineStr">
        <is>
          <t>/integrations/codex</t>
        </is>
      </c>
      <c r="P307" s="12" t="inlineStr">
        <is>
          <t>Integration</t>
        </is>
      </c>
      <c r="Q307" s="14" t="n"/>
      <c r="R307" s="14" t="n"/>
      <c r="S307" s="14" t="n"/>
      <c r="T307" s="12" t="inlineStr">
        <is>
          <t>Not started</t>
        </is>
      </c>
      <c r="U307" s="12" t="inlineStr">
        <is>
          <t>Real Google question; answer it in this page's FAQ or as an H2</t>
        </is>
      </c>
    </row>
    <row r="308">
      <c r="A308" s="11" t="n">
        <v>307</v>
      </c>
      <c r="B308" s="12" t="inlineStr">
        <is>
          <t>does gemini cli have usage limits</t>
        </is>
      </c>
      <c r="C308" s="17" t="inlineStr">
        <is>
          <t>AEO</t>
        </is>
      </c>
      <c r="D308" s="12" t="inlineStr">
        <is>
          <t>Google Autocomplete (question)</t>
        </is>
      </c>
      <c r="E308" s="12" t="inlineStr">
        <is>
          <t>Tool: Gemini CLI</t>
        </is>
      </c>
      <c r="F308" s="13" t="n"/>
      <c r="G308" s="13" t="n"/>
      <c r="H308" s="14" t="n"/>
      <c r="I308" s="12" t="inlineStr">
        <is>
          <t>Informational</t>
        </is>
      </c>
      <c r="J308" s="15" t="n">
        <v>2</v>
      </c>
      <c r="K308" s="16">
        <f>IF(I308="","",IF(I308="Transactional",3,IF(I308="Commercial",2,1)))</f>
        <v/>
      </c>
      <c r="L308" s="16">
        <f>IF(G308="","",IF(G308&lt;=20,3,IF(G308&lt;=50,2,1)))</f>
        <v/>
      </c>
      <c r="M308" s="16">
        <f>IF(OR(J308="",K308="",L308=""),"",J308+K308+L308)</f>
        <v/>
      </c>
      <c r="N308" s="11" t="inlineStr">
        <is>
          <t>FAQ</t>
        </is>
      </c>
      <c r="O308" s="12" t="inlineStr">
        <is>
          <t>/integrations/gemini-cli</t>
        </is>
      </c>
      <c r="P308" s="12" t="inlineStr">
        <is>
          <t>Integration</t>
        </is>
      </c>
      <c r="Q308" s="14" t="n"/>
      <c r="R308" s="14" t="n"/>
      <c r="S308" s="14" t="n"/>
      <c r="T308" s="12" t="inlineStr">
        <is>
          <t>Not started</t>
        </is>
      </c>
      <c r="U308" s="12" t="inlineStr">
        <is>
          <t>Real Google question; answer it in this page's FAQ or as an H2</t>
        </is>
      </c>
    </row>
    <row r="309">
      <c r="A309" s="11" t="n">
        <v>308</v>
      </c>
      <c r="B309" s="12" t="inlineStr">
        <is>
          <t>how do claude code usage limits work</t>
        </is>
      </c>
      <c r="C309" s="17" t="inlineStr">
        <is>
          <t>AEO</t>
        </is>
      </c>
      <c r="D309" s="12" t="inlineStr">
        <is>
          <t>Google Autocomplete (question)</t>
        </is>
      </c>
      <c r="E309" s="12" t="inlineStr">
        <is>
          <t>Limits</t>
        </is>
      </c>
      <c r="F309" s="13" t="n"/>
      <c r="G309" s="13" t="n"/>
      <c r="H309" s="14" t="n"/>
      <c r="I309" s="12" t="inlineStr">
        <is>
          <t>Informational</t>
        </is>
      </c>
      <c r="J309" s="15" t="n">
        <v>2</v>
      </c>
      <c r="K309" s="16">
        <f>IF(I309="","",IF(I309="Transactional",3,IF(I309="Commercial",2,1)))</f>
        <v/>
      </c>
      <c r="L309" s="16">
        <f>IF(G309="","",IF(G309&lt;=20,3,IF(G309&lt;=50,2,1)))</f>
        <v/>
      </c>
      <c r="M309" s="16">
        <f>IF(OR(J309="",K309="",L309=""),"",J309+K309+L309)</f>
        <v/>
      </c>
      <c r="N309" s="11" t="inlineStr">
        <is>
          <t>FAQ</t>
        </is>
      </c>
      <c r="O309" s="12" t="inlineStr">
        <is>
          <t>/claude-code-usage-limits</t>
        </is>
      </c>
      <c r="P309" s="12" t="inlineStr">
        <is>
          <t>Interactive guide</t>
        </is>
      </c>
      <c r="Q309" s="14" t="n"/>
      <c r="R309" s="14" t="n"/>
      <c r="S309" s="14" t="n"/>
      <c r="T309" s="12" t="inlineStr">
        <is>
          <t>Not started</t>
        </is>
      </c>
      <c r="U309" s="12" t="inlineStr">
        <is>
          <t>Real Google question; answer it in this page's FAQ or as an H2</t>
        </is>
      </c>
    </row>
    <row r="310">
      <c r="A310" s="11" t="n">
        <v>309</v>
      </c>
      <c r="B310" s="12" t="inlineStr">
        <is>
          <t>how often do claude code limits reset</t>
        </is>
      </c>
      <c r="C310" s="17" t="inlineStr">
        <is>
          <t>AEO</t>
        </is>
      </c>
      <c r="D310" s="12" t="inlineStr">
        <is>
          <t>Google Autocomplete (question)</t>
        </is>
      </c>
      <c r="E310" s="12" t="inlineStr">
        <is>
          <t>Limits</t>
        </is>
      </c>
      <c r="F310" s="13" t="n"/>
      <c r="G310" s="13" t="n"/>
      <c r="H310" s="14" t="n"/>
      <c r="I310" s="12" t="inlineStr">
        <is>
          <t>Informational</t>
        </is>
      </c>
      <c r="J310" s="15" t="n">
        <v>2</v>
      </c>
      <c r="K310" s="16">
        <f>IF(I310="","",IF(I310="Transactional",3,IF(I310="Commercial",2,1)))</f>
        <v/>
      </c>
      <c r="L310" s="16">
        <f>IF(G310="","",IF(G310&lt;=20,3,IF(G310&lt;=50,2,1)))</f>
        <v/>
      </c>
      <c r="M310" s="16">
        <f>IF(OR(J310="",K310="",L310=""),"",J310+K310+L310)</f>
        <v/>
      </c>
      <c r="N310" s="11" t="inlineStr">
        <is>
          <t>FAQ</t>
        </is>
      </c>
      <c r="O310" s="12" t="inlineStr">
        <is>
          <t>/claude-code-usage-limits</t>
        </is>
      </c>
      <c r="P310" s="12" t="inlineStr">
        <is>
          <t>Interactive guide</t>
        </is>
      </c>
      <c r="Q310" s="14" t="n"/>
      <c r="R310" s="14" t="n"/>
      <c r="S310" s="14" t="n"/>
      <c r="T310" s="12" t="inlineStr">
        <is>
          <t>Not started</t>
        </is>
      </c>
      <c r="U310" s="12" t="inlineStr">
        <is>
          <t>Real Google question; answer it in this page's FAQ or as an H2</t>
        </is>
      </c>
    </row>
    <row r="311">
      <c r="A311" s="11" t="n">
        <v>310</v>
      </c>
      <c r="B311" s="12" t="inlineStr">
        <is>
          <t>why are claude code limits so low</t>
        </is>
      </c>
      <c r="C311" s="17" t="inlineStr">
        <is>
          <t>AEO</t>
        </is>
      </c>
      <c r="D311" s="12" t="inlineStr">
        <is>
          <t>Google Autocomplete (question)</t>
        </is>
      </c>
      <c r="E311" s="12" t="inlineStr">
        <is>
          <t>Limits</t>
        </is>
      </c>
      <c r="F311" s="13" t="n"/>
      <c r="G311" s="13" t="n"/>
      <c r="H311" s="14" t="n"/>
      <c r="I311" s="12" t="inlineStr">
        <is>
          <t>Informational</t>
        </is>
      </c>
      <c r="J311" s="15" t="n">
        <v>2</v>
      </c>
      <c r="K311" s="16">
        <f>IF(I311="","",IF(I311="Transactional",3,IF(I311="Commercial",2,1)))</f>
        <v/>
      </c>
      <c r="L311" s="16">
        <f>IF(G311="","",IF(G311&lt;=20,3,IF(G311&lt;=50,2,1)))</f>
        <v/>
      </c>
      <c r="M311" s="16">
        <f>IF(OR(J311="",K311="",L311=""),"",J311+K311+L311)</f>
        <v/>
      </c>
      <c r="N311" s="11" t="inlineStr">
        <is>
          <t>FAQ</t>
        </is>
      </c>
      <c r="O311" s="12" t="inlineStr">
        <is>
          <t>/claude-code-usage-limits</t>
        </is>
      </c>
      <c r="P311" s="12" t="inlineStr">
        <is>
          <t>Interactive guide</t>
        </is>
      </c>
      <c r="Q311" s="14" t="n"/>
      <c r="R311" s="14" t="n"/>
      <c r="S311" s="14" t="n"/>
      <c r="T311" s="12" t="inlineStr">
        <is>
          <t>Not started</t>
        </is>
      </c>
      <c r="U311" s="12" t="inlineStr">
        <is>
          <t>Real Google question; answer it in this page's FAQ or as an H2</t>
        </is>
      </c>
    </row>
    <row r="312">
      <c r="A312" s="11" t="n">
        <v>311</v>
      </c>
      <c r="B312" s="12" t="inlineStr">
        <is>
          <t>is claude weekly limit a rolling window</t>
        </is>
      </c>
      <c r="C312" s="17" t="inlineStr">
        <is>
          <t>AEO</t>
        </is>
      </c>
      <c r="D312" s="12" t="inlineStr">
        <is>
          <t>Google Autocomplete (question)</t>
        </is>
      </c>
      <c r="E312" s="12" t="inlineStr">
        <is>
          <t>Limits</t>
        </is>
      </c>
      <c r="F312" s="13" t="n"/>
      <c r="G312" s="13" t="n"/>
      <c r="H312" s="14" t="n"/>
      <c r="I312" s="12" t="inlineStr">
        <is>
          <t>Informational</t>
        </is>
      </c>
      <c r="J312" s="15" t="n">
        <v>2</v>
      </c>
      <c r="K312" s="16">
        <f>IF(I312="","",IF(I312="Transactional",3,IF(I312="Commercial",2,1)))</f>
        <v/>
      </c>
      <c r="L312" s="16">
        <f>IF(G312="","",IF(G312&lt;=20,3,IF(G312&lt;=50,2,1)))</f>
        <v/>
      </c>
      <c r="M312" s="16">
        <f>IF(OR(J312="",K312="",L312=""),"",J312+K312+L312)</f>
        <v/>
      </c>
      <c r="N312" s="11" t="inlineStr">
        <is>
          <t>FAQ</t>
        </is>
      </c>
      <c r="O312" s="12" t="inlineStr">
        <is>
          <t>/claude-code-usage-limits</t>
        </is>
      </c>
      <c r="P312" s="12" t="inlineStr">
        <is>
          <t>Interactive guide</t>
        </is>
      </c>
      <c r="Q312" s="14" t="n"/>
      <c r="R312" s="14" t="n"/>
      <c r="S312" s="14" t="n"/>
      <c r="T312" s="12" t="inlineStr">
        <is>
          <t>Not started</t>
        </is>
      </c>
      <c r="U312" s="12" t="inlineStr">
        <is>
          <t>Real Google question; answer it in this page's FAQ or as an H2</t>
        </is>
      </c>
    </row>
    <row r="313">
      <c r="A313" s="11" t="n">
        <v>312</v>
      </c>
      <c r="B313" s="12" t="inlineStr">
        <is>
          <t>what is claude code session limit</t>
        </is>
      </c>
      <c r="C313" s="17" t="inlineStr">
        <is>
          <t>AEO</t>
        </is>
      </c>
      <c r="D313" s="12" t="inlineStr">
        <is>
          <t>Google Autocomplete (question)</t>
        </is>
      </c>
      <c r="E313" s="12" t="inlineStr">
        <is>
          <t>Limits</t>
        </is>
      </c>
      <c r="F313" s="13" t="n"/>
      <c r="G313" s="13" t="n"/>
      <c r="H313" s="14" t="n"/>
      <c r="I313" s="12" t="inlineStr">
        <is>
          <t>Informational</t>
        </is>
      </c>
      <c r="J313" s="15" t="n">
        <v>2</v>
      </c>
      <c r="K313" s="16">
        <f>IF(I313="","",IF(I313="Transactional",3,IF(I313="Commercial",2,1)))</f>
        <v/>
      </c>
      <c r="L313" s="16">
        <f>IF(G313="","",IF(G313&lt;=20,3,IF(G313&lt;=50,2,1)))</f>
        <v/>
      </c>
      <c r="M313" s="16">
        <f>IF(OR(J313="",K313="",L313=""),"",J313+K313+L313)</f>
        <v/>
      </c>
      <c r="N313" s="11" t="inlineStr">
        <is>
          <t>FAQ</t>
        </is>
      </c>
      <c r="O313" s="12" t="inlineStr">
        <is>
          <t>/claude-code-usage-limits</t>
        </is>
      </c>
      <c r="P313" s="12" t="inlineStr">
        <is>
          <t>Interactive guide</t>
        </is>
      </c>
      <c r="Q313" s="14" t="n"/>
      <c r="R313" s="14" t="n"/>
      <c r="S313" s="14" t="n"/>
      <c r="T313" s="12" t="inlineStr">
        <is>
          <t>Not started</t>
        </is>
      </c>
      <c r="U313" s="12" t="inlineStr">
        <is>
          <t>Real Google question; answer it in this page's FAQ or as an H2</t>
        </is>
      </c>
    </row>
    <row r="314">
      <c r="A314" s="11" t="n">
        <v>313</v>
      </c>
      <c r="B314" s="12" t="inlineStr">
        <is>
          <t>are claude limits weekly or monthly</t>
        </is>
      </c>
      <c r="C314" s="17" t="inlineStr">
        <is>
          <t>AEO</t>
        </is>
      </c>
      <c r="D314" s="12" t="inlineStr">
        <is>
          <t>Google Autocomplete (question)</t>
        </is>
      </c>
      <c r="E314" s="12" t="inlineStr">
        <is>
          <t>Limits</t>
        </is>
      </c>
      <c r="F314" s="13" t="n"/>
      <c r="G314" s="13" t="n"/>
      <c r="H314" s="14" t="n"/>
      <c r="I314" s="12" t="inlineStr">
        <is>
          <t>Informational</t>
        </is>
      </c>
      <c r="J314" s="15" t="n">
        <v>2</v>
      </c>
      <c r="K314" s="16">
        <f>IF(I314="","",IF(I314="Transactional",3,IF(I314="Commercial",2,1)))</f>
        <v/>
      </c>
      <c r="L314" s="16">
        <f>IF(G314="","",IF(G314&lt;=20,3,IF(G314&lt;=50,2,1)))</f>
        <v/>
      </c>
      <c r="M314" s="16">
        <f>IF(OR(J314="",K314="",L314=""),"",J314+K314+L314)</f>
        <v/>
      </c>
      <c r="N314" s="11" t="inlineStr">
        <is>
          <t>FAQ</t>
        </is>
      </c>
      <c r="O314" s="12" t="inlineStr">
        <is>
          <t>/claude-code-usage-limits</t>
        </is>
      </c>
      <c r="P314" s="12" t="inlineStr">
        <is>
          <t>Interactive guide</t>
        </is>
      </c>
      <c r="Q314" s="14" t="n"/>
      <c r="R314" s="14" t="n"/>
      <c r="S314" s="14" t="n"/>
      <c r="T314" s="12" t="inlineStr">
        <is>
          <t>Not started</t>
        </is>
      </c>
      <c r="U314" s="12" t="inlineStr">
        <is>
          <t>Real Google question; answer it in this page's FAQ or as an H2</t>
        </is>
      </c>
    </row>
    <row r="315">
      <c r="A315" s="11" t="n">
        <v>314</v>
      </c>
      <c r="B315" s="12" t="inlineStr">
        <is>
          <t>how to increase claude code limit</t>
        </is>
      </c>
      <c r="C315" s="17" t="inlineStr">
        <is>
          <t>AEO</t>
        </is>
      </c>
      <c r="D315" s="12" t="inlineStr">
        <is>
          <t>Google Autocomplete (question)</t>
        </is>
      </c>
      <c r="E315" s="12" t="inlineStr">
        <is>
          <t>Limits</t>
        </is>
      </c>
      <c r="F315" s="13" t="n"/>
      <c r="G315" s="13" t="n"/>
      <c r="H315" s="14" t="n"/>
      <c r="I315" s="12" t="inlineStr">
        <is>
          <t>Informational</t>
        </is>
      </c>
      <c r="J315" s="15" t="n">
        <v>2</v>
      </c>
      <c r="K315" s="16">
        <f>IF(I315="","",IF(I315="Transactional",3,IF(I315="Commercial",2,1)))</f>
        <v/>
      </c>
      <c r="L315" s="16">
        <f>IF(G315="","",IF(G315&lt;=20,3,IF(G315&lt;=50,2,1)))</f>
        <v/>
      </c>
      <c r="M315" s="16">
        <f>IF(OR(J315="",K315="",L315=""),"",J315+K315+L315)</f>
        <v/>
      </c>
      <c r="N315" s="11" t="inlineStr">
        <is>
          <t>FAQ</t>
        </is>
      </c>
      <c r="O315" s="12" t="inlineStr">
        <is>
          <t>/claude-code-usage-limits</t>
        </is>
      </c>
      <c r="P315" s="12" t="inlineStr">
        <is>
          <t>Interactive guide</t>
        </is>
      </c>
      <c r="Q315" s="14" t="n"/>
      <c r="R315" s="14" t="n"/>
      <c r="S315" s="14" t="n"/>
      <c r="T315" s="12" t="inlineStr">
        <is>
          <t>Not started</t>
        </is>
      </c>
      <c r="U315" s="12" t="inlineStr">
        <is>
          <t>Real Google question; answer it in this page's FAQ or as an H2</t>
        </is>
      </c>
    </row>
    <row r="316">
      <c r="A316" s="11" t="n">
        <v>315</v>
      </c>
      <c r="B316" s="12" t="inlineStr">
        <is>
          <t>how to avoid claude code limits</t>
        </is>
      </c>
      <c r="C316" s="17" t="inlineStr">
        <is>
          <t>AEO</t>
        </is>
      </c>
      <c r="D316" s="12" t="inlineStr">
        <is>
          <t>Google Autocomplete (question)</t>
        </is>
      </c>
      <c r="E316" s="12" t="inlineStr">
        <is>
          <t>Limits</t>
        </is>
      </c>
      <c r="F316" s="13" t="n"/>
      <c r="G316" s="13" t="n"/>
      <c r="H316" s="14" t="n"/>
      <c r="I316" s="12" t="inlineStr">
        <is>
          <t>Informational</t>
        </is>
      </c>
      <c r="J316" s="15" t="n">
        <v>3</v>
      </c>
      <c r="K316" s="16">
        <f>IF(I316="","",IF(I316="Transactional",3,IF(I316="Commercial",2,1)))</f>
        <v/>
      </c>
      <c r="L316" s="16">
        <f>IF(G316="","",IF(G316&lt;=20,3,IF(G316&lt;=50,2,1)))</f>
        <v/>
      </c>
      <c r="M316" s="16">
        <f>IF(OR(J316="",K316="",L316=""),"",J316+K316+L316)</f>
        <v/>
      </c>
      <c r="N316" s="11" t="inlineStr">
        <is>
          <t>FAQ</t>
        </is>
      </c>
      <c r="O316" s="12" t="inlineStr">
        <is>
          <t>/claude-code-usage-limits</t>
        </is>
      </c>
      <c r="P316" s="12" t="inlineStr">
        <is>
          <t>Interactive guide</t>
        </is>
      </c>
      <c r="Q316" s="14" t="n"/>
      <c r="R316" s="14" t="n"/>
      <c r="S316" s="14" t="n"/>
      <c r="T316" s="12" t="inlineStr">
        <is>
          <t>Not started</t>
        </is>
      </c>
      <c r="U316" s="12" t="inlineStr">
        <is>
          <t>Real Google question; answer it in this page's FAQ or as an H2</t>
        </is>
      </c>
    </row>
    <row r="317">
      <c r="A317" s="11" t="n">
        <v>316</v>
      </c>
      <c r="B317" s="12" t="inlineStr">
        <is>
          <t>how to reduce claude code cost</t>
        </is>
      </c>
      <c r="C317" s="17" t="inlineStr">
        <is>
          <t>AEO</t>
        </is>
      </c>
      <c r="D317" s="12" t="inlineStr">
        <is>
          <t>Google Autocomplete (question)</t>
        </is>
      </c>
      <c r="E317" s="12" t="inlineStr">
        <is>
          <t>Cost</t>
        </is>
      </c>
      <c r="F317" s="13" t="n"/>
      <c r="G317" s="13" t="n"/>
      <c r="H317" s="14" t="n"/>
      <c r="I317" s="12" t="inlineStr">
        <is>
          <t>Informational</t>
        </is>
      </c>
      <c r="J317" s="15" t="n">
        <v>2</v>
      </c>
      <c r="K317" s="16">
        <f>IF(I317="","",IF(I317="Transactional",3,IF(I317="Commercial",2,1)))</f>
        <v/>
      </c>
      <c r="L317" s="16">
        <f>IF(G317="","",IF(G317&lt;=20,3,IF(G317&lt;=50,2,1)))</f>
        <v/>
      </c>
      <c r="M317" s="16">
        <f>IF(OR(J317="",K317="",L317=""),"",J317+K317+L317)</f>
        <v/>
      </c>
      <c r="N317" s="11" t="inlineStr">
        <is>
          <t>FAQ</t>
        </is>
      </c>
      <c r="O317" s="12" t="inlineStr">
        <is>
          <t>/blog/reduce-ai-coding-costs</t>
        </is>
      </c>
      <c r="P317" s="12" t="inlineStr">
        <is>
          <t>Blog</t>
        </is>
      </c>
      <c r="Q317" s="14" t="n"/>
      <c r="R317" s="14" t="n"/>
      <c r="S317" s="14" t="n"/>
      <c r="T317" s="12" t="inlineStr">
        <is>
          <t>Not started</t>
        </is>
      </c>
      <c r="U317" s="12" t="inlineStr">
        <is>
          <t>Real Google question; answer it in this page's FAQ or as an H2</t>
        </is>
      </c>
    </row>
    <row r="318">
      <c r="A318" s="11" t="n">
        <v>317</v>
      </c>
      <c r="B318" s="12" t="inlineStr">
        <is>
          <t>why does claude code cost so much</t>
        </is>
      </c>
      <c r="C318" s="17" t="inlineStr">
        <is>
          <t>AEO</t>
        </is>
      </c>
      <c r="D318" s="12" t="inlineStr">
        <is>
          <t>Google Autocomplete (question)</t>
        </is>
      </c>
      <c r="E318" s="12" t="inlineStr">
        <is>
          <t>Cost</t>
        </is>
      </c>
      <c r="F318" s="13" t="n"/>
      <c r="G318" s="13" t="n"/>
      <c r="H318" s="14" t="n"/>
      <c r="I318" s="12" t="inlineStr">
        <is>
          <t>Informational</t>
        </is>
      </c>
      <c r="J318" s="15" t="n">
        <v>2</v>
      </c>
      <c r="K318" s="16">
        <f>IF(I318="","",IF(I318="Transactional",3,IF(I318="Commercial",2,1)))</f>
        <v/>
      </c>
      <c r="L318" s="16">
        <f>IF(G318="","",IF(G318&lt;=20,3,IF(G318&lt;=50,2,1)))</f>
        <v/>
      </c>
      <c r="M318" s="16">
        <f>IF(OR(J318="",K318="",L318=""),"",J318+K318+L318)</f>
        <v/>
      </c>
      <c r="N318" s="11" t="inlineStr">
        <is>
          <t>FAQ</t>
        </is>
      </c>
      <c r="O318" s="12" t="inlineStr">
        <is>
          <t>/blog/reduce-ai-coding-costs</t>
        </is>
      </c>
      <c r="P318" s="12" t="inlineStr">
        <is>
          <t>Blog</t>
        </is>
      </c>
      <c r="Q318" s="14" t="n"/>
      <c r="R318" s="14" t="n"/>
      <c r="S318" s="14" t="n"/>
      <c r="T318" s="12" t="inlineStr">
        <is>
          <t>Not started</t>
        </is>
      </c>
      <c r="U318" s="12" t="inlineStr">
        <is>
          <t>Real Google question; answer it in this page's FAQ or as an H2</t>
        </is>
      </c>
    </row>
    <row r="319">
      <c r="A319" s="11" t="n">
        <v>318</v>
      </c>
      <c r="B319" s="12" t="inlineStr">
        <is>
          <t>how to reduce token usage in claude code</t>
        </is>
      </c>
      <c r="C319" s="17" t="inlineStr">
        <is>
          <t>AEO</t>
        </is>
      </c>
      <c r="D319" s="12" t="inlineStr">
        <is>
          <t>Google Autocomplete (question)</t>
        </is>
      </c>
      <c r="E319" s="12" t="inlineStr">
        <is>
          <t>Cost</t>
        </is>
      </c>
      <c r="F319" s="13" t="n"/>
      <c r="G319" s="13" t="n"/>
      <c r="H319" s="14" t="n"/>
      <c r="I319" s="12" t="inlineStr">
        <is>
          <t>Informational</t>
        </is>
      </c>
      <c r="J319" s="15" t="n">
        <v>2</v>
      </c>
      <c r="K319" s="16">
        <f>IF(I319="","",IF(I319="Transactional",3,IF(I319="Commercial",2,1)))</f>
        <v/>
      </c>
      <c r="L319" s="16">
        <f>IF(G319="","",IF(G319&lt;=20,3,IF(G319&lt;=50,2,1)))</f>
        <v/>
      </c>
      <c r="M319" s="16">
        <f>IF(OR(J319="",K319="",L319=""),"",J319+K319+L319)</f>
        <v/>
      </c>
      <c r="N319" s="11" t="inlineStr">
        <is>
          <t>FAQ</t>
        </is>
      </c>
      <c r="O319" s="12" t="inlineStr">
        <is>
          <t>/blog/reduce-ai-coding-costs</t>
        </is>
      </c>
      <c r="P319" s="12" t="inlineStr">
        <is>
          <t>Blog</t>
        </is>
      </c>
      <c r="Q319" s="14" t="n"/>
      <c r="R319" s="14" t="n"/>
      <c r="S319" s="14" t="n"/>
      <c r="T319" s="12" t="inlineStr">
        <is>
          <t>Not started</t>
        </is>
      </c>
      <c r="U319" s="12" t="inlineStr">
        <is>
          <t>Real Google question; answer it in this page's FAQ or as an H2</t>
        </is>
      </c>
    </row>
    <row r="320">
      <c r="A320" s="11" t="n">
        <v>319</v>
      </c>
      <c r="B320" s="12" t="inlineStr">
        <is>
          <t>how to optimize claude code usage</t>
        </is>
      </c>
      <c r="C320" s="17" t="inlineStr">
        <is>
          <t>AEO</t>
        </is>
      </c>
      <c r="D320" s="12" t="inlineStr">
        <is>
          <t>Google Autocomplete (question)</t>
        </is>
      </c>
      <c r="E320" s="12" t="inlineStr">
        <is>
          <t>Cost</t>
        </is>
      </c>
      <c r="F320" s="13" t="n"/>
      <c r="G320" s="13" t="n"/>
      <c r="H320" s="14" t="n"/>
      <c r="I320" s="12" t="inlineStr">
        <is>
          <t>Informational</t>
        </is>
      </c>
      <c r="J320" s="15" t="n">
        <v>2</v>
      </c>
      <c r="K320" s="16">
        <f>IF(I320="","",IF(I320="Transactional",3,IF(I320="Commercial",2,1)))</f>
        <v/>
      </c>
      <c r="L320" s="16">
        <f>IF(G320="","",IF(G320&lt;=20,3,IF(G320&lt;=50,2,1)))</f>
        <v/>
      </c>
      <c r="M320" s="16">
        <f>IF(OR(J320="",K320="",L320=""),"",J320+K320+L320)</f>
        <v/>
      </c>
      <c r="N320" s="11" t="inlineStr">
        <is>
          <t>FAQ</t>
        </is>
      </c>
      <c r="O320" s="12" t="inlineStr">
        <is>
          <t>/blog/reduce-ai-coding-costs</t>
        </is>
      </c>
      <c r="P320" s="12" t="inlineStr">
        <is>
          <t>Blog</t>
        </is>
      </c>
      <c r="Q320" s="14" t="n"/>
      <c r="R320" s="14" t="n"/>
      <c r="S320" s="14" t="n"/>
      <c r="T320" s="12" t="inlineStr">
        <is>
          <t>Not started</t>
        </is>
      </c>
      <c r="U320" s="12" t="inlineStr">
        <is>
          <t>Real Google question; answer it in this page's FAQ or as an H2</t>
        </is>
      </c>
    </row>
    <row r="321">
      <c r="A321" s="11" t="n">
        <v>320</v>
      </c>
      <c r="B321" s="12" t="inlineStr">
        <is>
          <t>how is token usage calculated in ai</t>
        </is>
      </c>
      <c r="C321" s="17" t="inlineStr">
        <is>
          <t>AEO</t>
        </is>
      </c>
      <c r="D321" s="12" t="inlineStr">
        <is>
          <t>Google Autocomplete (question)</t>
        </is>
      </c>
      <c r="E321" s="12" t="inlineStr">
        <is>
          <t>Cost</t>
        </is>
      </c>
      <c r="F321" s="13" t="n"/>
      <c r="G321" s="13" t="n"/>
      <c r="H321" s="14" t="n"/>
      <c r="I321" s="12" t="inlineStr">
        <is>
          <t>Informational</t>
        </is>
      </c>
      <c r="J321" s="15" t="n">
        <v>2</v>
      </c>
      <c r="K321" s="16">
        <f>IF(I321="","",IF(I321="Transactional",3,IF(I321="Commercial",2,1)))</f>
        <v/>
      </c>
      <c r="L321" s="16">
        <f>IF(G321="","",IF(G321&lt;=20,3,IF(G321&lt;=50,2,1)))</f>
        <v/>
      </c>
      <c r="M321" s="16">
        <f>IF(OR(J321="",K321="",L321=""),"",J321+K321+L321)</f>
        <v/>
      </c>
      <c r="N321" s="11" t="inlineStr">
        <is>
          <t>FAQ</t>
        </is>
      </c>
      <c r="O321" s="12" t="inlineStr">
        <is>
          <t>/ai-cost-tracking</t>
        </is>
      </c>
      <c r="P321" s="12" t="inlineStr">
        <is>
          <t>Interactive guide</t>
        </is>
      </c>
      <c r="Q321" s="14" t="n"/>
      <c r="R321" s="14" t="n"/>
      <c r="S321" s="14" t="n"/>
      <c r="T321" s="12" t="inlineStr">
        <is>
          <t>Not started</t>
        </is>
      </c>
      <c r="U321" s="12" t="inlineStr">
        <is>
          <t>Real Google question; answer it in this page's FAQ or as an H2</t>
        </is>
      </c>
    </row>
    <row r="322">
      <c r="A322" s="11" t="n">
        <v>321</v>
      </c>
      <c r="B322" s="12" t="inlineStr">
        <is>
          <t>how much is claude code team plan</t>
        </is>
      </c>
      <c r="C322" s="17" t="inlineStr">
        <is>
          <t>AEO</t>
        </is>
      </c>
      <c r="D322" s="12" t="inlineStr">
        <is>
          <t>Google Autocomplete (question)</t>
        </is>
      </c>
      <c r="E322" s="12" t="inlineStr">
        <is>
          <t>Cost</t>
        </is>
      </c>
      <c r="F322" s="13" t="n"/>
      <c r="G322" s="13" t="n"/>
      <c r="H322" s="14" t="n"/>
      <c r="I322" s="12" t="inlineStr">
        <is>
          <t>Informational</t>
        </is>
      </c>
      <c r="J322" s="15" t="n">
        <v>2</v>
      </c>
      <c r="K322" s="16">
        <f>IF(I322="","",IF(I322="Transactional",3,IF(I322="Commercial",2,1)))</f>
        <v/>
      </c>
      <c r="L322" s="16">
        <f>IF(G322="","",IF(G322&lt;=20,3,IF(G322&lt;=50,2,1)))</f>
        <v/>
      </c>
      <c r="M322" s="16">
        <f>IF(OR(J322="",K322="",L322=""),"",J322+K322+L322)</f>
        <v/>
      </c>
      <c r="N322" s="11" t="inlineStr">
        <is>
          <t>FAQ</t>
        </is>
      </c>
      <c r="O322" s="12" t="inlineStr">
        <is>
          <t>/ai-cost-tracking</t>
        </is>
      </c>
      <c r="P322" s="12" t="inlineStr">
        <is>
          <t>Interactive guide</t>
        </is>
      </c>
      <c r="Q322" s="14" t="n"/>
      <c r="R322" s="14" t="n"/>
      <c r="S322" s="14" t="n"/>
      <c r="T322" s="12" t="inlineStr">
        <is>
          <t>Not started</t>
        </is>
      </c>
      <c r="U322" s="12" t="inlineStr">
        <is>
          <t>Real Google question; answer it in this page's FAQ or as an H2</t>
        </is>
      </c>
    </row>
    <row r="323">
      <c r="A323" s="11" t="n">
        <v>322</v>
      </c>
      <c r="B323" s="12" t="inlineStr">
        <is>
          <t>can generative ai improve developer productivity</t>
        </is>
      </c>
      <c r="C323" s="17" t="inlineStr">
        <is>
          <t>AEO</t>
        </is>
      </c>
      <c r="D323" s="12" t="inlineStr">
        <is>
          <t>Google Autocomplete (question)</t>
        </is>
      </c>
      <c r="E323" s="12" t="inlineStr">
        <is>
          <t>Engineering Intelligence</t>
        </is>
      </c>
      <c r="F323" s="13" t="n"/>
      <c r="G323" s="13" t="n"/>
      <c r="H323" s="14" t="n"/>
      <c r="I323" s="12" t="inlineStr">
        <is>
          <t>Informational</t>
        </is>
      </c>
      <c r="J323" s="15" t="n">
        <v>2</v>
      </c>
      <c r="K323" s="16">
        <f>IF(I323="","",IF(I323="Transactional",3,IF(I323="Commercial",2,1)))</f>
        <v/>
      </c>
      <c r="L323" s="16">
        <f>IF(G323="","",IF(G323&lt;=20,3,IF(G323&lt;=50,2,1)))</f>
        <v/>
      </c>
      <c r="M323" s="16">
        <f>IF(OR(J323="",K323="",L323=""),"",J323+K323+L323)</f>
        <v/>
      </c>
      <c r="N323" s="11" t="inlineStr">
        <is>
          <t>FAQ</t>
        </is>
      </c>
      <c r="O323" s="12" t="inlineStr">
        <is>
          <t>/blog/measure-developer-productivity-ai</t>
        </is>
      </c>
      <c r="P323" s="12" t="inlineStr">
        <is>
          <t>Interactive guide</t>
        </is>
      </c>
      <c r="Q323" s="14" t="n"/>
      <c r="R323" s="14" t="n"/>
      <c r="S323" s="14" t="n"/>
      <c r="T323" s="12" t="inlineStr">
        <is>
          <t>Not started</t>
        </is>
      </c>
      <c r="U323" s="12" t="inlineStr">
        <is>
          <t>Real Google question; answer it in this page's FAQ or as an H2</t>
        </is>
      </c>
    </row>
    <row r="324">
      <c r="A324" s="11" t="n">
        <v>323</v>
      </c>
      <c r="B324" s="12" t="inlineStr">
        <is>
          <t>how to improve developer productivity with ai</t>
        </is>
      </c>
      <c r="C324" s="17" t="inlineStr">
        <is>
          <t>AEO</t>
        </is>
      </c>
      <c r="D324" s="12" t="inlineStr">
        <is>
          <t>Google Autocomplete (question)</t>
        </is>
      </c>
      <c r="E324" s="12" t="inlineStr">
        <is>
          <t>Engineering Intelligence</t>
        </is>
      </c>
      <c r="F324" s="13" t="n"/>
      <c r="G324" s="13" t="n"/>
      <c r="H324" s="14" t="n"/>
      <c r="I324" s="12" t="inlineStr">
        <is>
          <t>Informational</t>
        </is>
      </c>
      <c r="J324" s="15" t="n">
        <v>2</v>
      </c>
      <c r="K324" s="16">
        <f>IF(I324="","",IF(I324="Transactional",3,IF(I324="Commercial",2,1)))</f>
        <v/>
      </c>
      <c r="L324" s="16">
        <f>IF(G324="","",IF(G324&lt;=20,3,IF(G324&lt;=50,2,1)))</f>
        <v/>
      </c>
      <c r="M324" s="16">
        <f>IF(OR(J324="",K324="",L324=""),"",J324+K324+L324)</f>
        <v/>
      </c>
      <c r="N324" s="11" t="inlineStr">
        <is>
          <t>FAQ</t>
        </is>
      </c>
      <c r="O324" s="12" t="inlineStr">
        <is>
          <t>/blog/measure-developer-productivity-ai</t>
        </is>
      </c>
      <c r="P324" s="12" t="inlineStr">
        <is>
          <t>Interactive guide</t>
        </is>
      </c>
      <c r="Q324" s="14" t="n"/>
      <c r="R324" s="14" t="n"/>
      <c r="S324" s="14" t="n"/>
      <c r="T324" s="12" t="inlineStr">
        <is>
          <t>Not started</t>
        </is>
      </c>
      <c r="U324" s="12" t="inlineStr">
        <is>
          <t>Real Google question; answer it in this page's FAQ or as an H2</t>
        </is>
      </c>
    </row>
    <row r="325">
      <c r="A325" s="11" t="n">
        <v>324</v>
      </c>
      <c r="B325" s="12" t="inlineStr">
        <is>
          <t>how to measure software developer productivity</t>
        </is>
      </c>
      <c r="C325" s="17" t="inlineStr">
        <is>
          <t>AEO</t>
        </is>
      </c>
      <c r="D325" s="12" t="inlineStr">
        <is>
          <t>Google Autocomplete (question)</t>
        </is>
      </c>
      <c r="E325" s="12" t="inlineStr">
        <is>
          <t>Engineering Intelligence</t>
        </is>
      </c>
      <c r="F325" s="13" t="n"/>
      <c r="G325" s="13" t="n"/>
      <c r="H325" s="14" t="n"/>
      <c r="I325" s="12" t="inlineStr">
        <is>
          <t>Informational</t>
        </is>
      </c>
      <c r="J325" s="15" t="n">
        <v>2</v>
      </c>
      <c r="K325" s="16">
        <f>IF(I325="","",IF(I325="Transactional",3,IF(I325="Commercial",2,1)))</f>
        <v/>
      </c>
      <c r="L325" s="16">
        <f>IF(G325="","",IF(G325&lt;=20,3,IF(G325&lt;=50,2,1)))</f>
        <v/>
      </c>
      <c r="M325" s="16">
        <f>IF(OR(J325="",K325="",L325=""),"",J325+K325+L325)</f>
        <v/>
      </c>
      <c r="N325" s="11" t="inlineStr">
        <is>
          <t>FAQ</t>
        </is>
      </c>
      <c r="O325" s="12" t="inlineStr">
        <is>
          <t>/blog/measure-developer-productivity-ai</t>
        </is>
      </c>
      <c r="P325" s="12" t="inlineStr">
        <is>
          <t>Interactive guide</t>
        </is>
      </c>
      <c r="Q325" s="14" t="n"/>
      <c r="R325" s="14" t="n"/>
      <c r="S325" s="14" t="n"/>
      <c r="T325" s="12" t="inlineStr">
        <is>
          <t>Not started</t>
        </is>
      </c>
      <c r="U325" s="12" t="inlineStr">
        <is>
          <t>Real Google question; answer it in this page's FAQ or as an H2</t>
        </is>
      </c>
    </row>
    <row r="326">
      <c r="A326" s="11" t="n">
        <v>325</v>
      </c>
      <c r="B326" s="12" t="inlineStr">
        <is>
          <t>what is shadow ai in cyber security</t>
        </is>
      </c>
      <c r="C326" s="17" t="inlineStr">
        <is>
          <t>AEO</t>
        </is>
      </c>
      <c r="D326" s="12" t="inlineStr">
        <is>
          <t>Google Autocomplete (question)</t>
        </is>
      </c>
      <c r="E326" s="12" t="inlineStr">
        <is>
          <t>Shadow AI &amp; Seats</t>
        </is>
      </c>
      <c r="F326" s="13" t="n"/>
      <c r="G326" s="13" t="n"/>
      <c r="H326" s="14" t="n"/>
      <c r="I326" s="12" t="inlineStr">
        <is>
          <t>Informational</t>
        </is>
      </c>
      <c r="J326" s="15" t="n">
        <v>2</v>
      </c>
      <c r="K326" s="16">
        <f>IF(I326="","",IF(I326="Transactional",3,IF(I326="Commercial",2,1)))</f>
        <v/>
      </c>
      <c r="L326" s="16">
        <f>IF(G326="","",IF(G326&lt;=20,3,IF(G326&lt;=50,2,1)))</f>
        <v/>
      </c>
      <c r="M326" s="16">
        <f>IF(OR(J326="",K326="",L326=""),"",J326+K326+L326)</f>
        <v/>
      </c>
      <c r="N326" s="11" t="inlineStr">
        <is>
          <t>FAQ</t>
        </is>
      </c>
      <c r="O326" s="12" t="inlineStr">
        <is>
          <t>/shadow-ai</t>
        </is>
      </c>
      <c r="P326" s="12" t="inlineStr">
        <is>
          <t>Solution</t>
        </is>
      </c>
      <c r="Q326" s="14" t="n"/>
      <c r="R326" s="14" t="n"/>
      <c r="S326" s="14" t="n"/>
      <c r="T326" s="12" t="inlineStr">
        <is>
          <t>Not started</t>
        </is>
      </c>
      <c r="U326" s="12" t="inlineStr">
        <is>
          <t>Real Google question; answer it in this page's FAQ or as an H2</t>
        </is>
      </c>
    </row>
    <row r="327">
      <c r="A327" s="11" t="n">
        <v>326</v>
      </c>
      <c r="B327" s="12" t="inlineStr">
        <is>
          <t>what is shadow ai risk</t>
        </is>
      </c>
      <c r="C327" s="17" t="inlineStr">
        <is>
          <t>AEO</t>
        </is>
      </c>
      <c r="D327" s="12" t="inlineStr">
        <is>
          <t>Google Autocomplete (question)</t>
        </is>
      </c>
      <c r="E327" s="12" t="inlineStr">
        <is>
          <t>Shadow AI &amp; Seats</t>
        </is>
      </c>
      <c r="F327" s="13" t="n"/>
      <c r="G327" s="13" t="n"/>
      <c r="H327" s="14" t="n"/>
      <c r="I327" s="12" t="inlineStr">
        <is>
          <t>Informational</t>
        </is>
      </c>
      <c r="J327" s="15" t="n">
        <v>2</v>
      </c>
      <c r="K327" s="16">
        <f>IF(I327="","",IF(I327="Transactional",3,IF(I327="Commercial",2,1)))</f>
        <v/>
      </c>
      <c r="L327" s="16">
        <f>IF(G327="","",IF(G327&lt;=20,3,IF(G327&lt;=50,2,1)))</f>
        <v/>
      </c>
      <c r="M327" s="16">
        <f>IF(OR(J327="",K327="",L327=""),"",J327+K327+L327)</f>
        <v/>
      </c>
      <c r="N327" s="11" t="inlineStr">
        <is>
          <t>FAQ</t>
        </is>
      </c>
      <c r="O327" s="12" t="inlineStr">
        <is>
          <t>/shadow-ai</t>
        </is>
      </c>
      <c r="P327" s="12" t="inlineStr">
        <is>
          <t>Solution</t>
        </is>
      </c>
      <c r="Q327" s="14" t="n"/>
      <c r="R327" s="14" t="n"/>
      <c r="S327" s="14" t="n"/>
      <c r="T327" s="12" t="inlineStr">
        <is>
          <t>Not started</t>
        </is>
      </c>
      <c r="U327" s="12" t="inlineStr">
        <is>
          <t>Real Google question; answer it in this page's FAQ or as an H2</t>
        </is>
      </c>
    </row>
    <row r="328">
      <c r="A328" s="11" t="n">
        <v>327</v>
      </c>
      <c r="B328" s="12" t="inlineStr">
        <is>
          <t>what is shadow ai discovery</t>
        </is>
      </c>
      <c r="C328" s="17" t="inlineStr">
        <is>
          <t>AEO</t>
        </is>
      </c>
      <c r="D328" s="12" t="inlineStr">
        <is>
          <t>Google Autocomplete (question)</t>
        </is>
      </c>
      <c r="E328" s="12" t="inlineStr">
        <is>
          <t>Shadow AI &amp; Seats</t>
        </is>
      </c>
      <c r="F328" s="13" t="n"/>
      <c r="G328" s="13" t="n"/>
      <c r="H328" s="14" t="n"/>
      <c r="I328" s="12" t="inlineStr">
        <is>
          <t>Informational</t>
        </is>
      </c>
      <c r="J328" s="15" t="n">
        <v>2</v>
      </c>
      <c r="K328" s="16">
        <f>IF(I328="","",IF(I328="Transactional",3,IF(I328="Commercial",2,1)))</f>
        <v/>
      </c>
      <c r="L328" s="16">
        <f>IF(G328="","",IF(G328&lt;=20,3,IF(G328&lt;=50,2,1)))</f>
        <v/>
      </c>
      <c r="M328" s="16">
        <f>IF(OR(J328="",K328="",L328=""),"",J328+K328+L328)</f>
        <v/>
      </c>
      <c r="N328" s="11" t="inlineStr">
        <is>
          <t>FAQ</t>
        </is>
      </c>
      <c r="O328" s="12" t="inlineStr">
        <is>
          <t>/shadow-ai</t>
        </is>
      </c>
      <c r="P328" s="12" t="inlineStr">
        <is>
          <t>Solution</t>
        </is>
      </c>
      <c r="Q328" s="14" t="n"/>
      <c r="R328" s="14" t="n"/>
      <c r="S328" s="14" t="n"/>
      <c r="T328" s="12" t="inlineStr">
        <is>
          <t>Not started</t>
        </is>
      </c>
      <c r="U328" s="12" t="inlineStr">
        <is>
          <t>Real Google question; answer it in this page's FAQ or as an H2</t>
        </is>
      </c>
    </row>
    <row r="329">
      <c r="A329" s="11" t="n">
        <v>328</v>
      </c>
      <c r="B329" s="12" t="inlineStr">
        <is>
          <t>what best describes shadow ai</t>
        </is>
      </c>
      <c r="C329" s="17" t="inlineStr">
        <is>
          <t>AEO</t>
        </is>
      </c>
      <c r="D329" s="12" t="inlineStr">
        <is>
          <t>Google Autocomplete (question)</t>
        </is>
      </c>
      <c r="E329" s="12" t="inlineStr">
        <is>
          <t>Shadow AI &amp; Seats</t>
        </is>
      </c>
      <c r="F329" s="13" t="n"/>
      <c r="G329" s="13" t="n"/>
      <c r="H329" s="14" t="n"/>
      <c r="I329" s="12" t="inlineStr">
        <is>
          <t>Informational</t>
        </is>
      </c>
      <c r="J329" s="15" t="n">
        <v>2</v>
      </c>
      <c r="K329" s="16">
        <f>IF(I329="","",IF(I329="Transactional",3,IF(I329="Commercial",2,1)))</f>
        <v/>
      </c>
      <c r="L329" s="16">
        <f>IF(G329="","",IF(G329&lt;=20,3,IF(G329&lt;=50,2,1)))</f>
        <v/>
      </c>
      <c r="M329" s="16">
        <f>IF(OR(J329="",K329="",L329=""),"",J329+K329+L329)</f>
        <v/>
      </c>
      <c r="N329" s="11" t="inlineStr">
        <is>
          <t>FAQ</t>
        </is>
      </c>
      <c r="O329" s="12" t="inlineStr">
        <is>
          <t>/shadow-ai</t>
        </is>
      </c>
      <c r="P329" s="12" t="inlineStr">
        <is>
          <t>Solution</t>
        </is>
      </c>
      <c r="Q329" s="14" t="n"/>
      <c r="R329" s="14" t="n"/>
      <c r="S329" s="14" t="n"/>
      <c r="T329" s="12" t="inlineStr">
        <is>
          <t>Not started</t>
        </is>
      </c>
      <c r="U329" s="12" t="inlineStr">
        <is>
          <t>Real Google question; answer it in this page's FAQ or as an H2</t>
        </is>
      </c>
    </row>
    <row r="330">
      <c r="A330" s="11" t="n">
        <v>329</v>
      </c>
      <c r="B330" s="12" t="inlineStr">
        <is>
          <t>How do I see which developers on my team are using AI coding tools?</t>
        </is>
      </c>
      <c r="C330" s="17" t="inlineStr">
        <is>
          <t>AEO</t>
        </is>
      </c>
      <c r="D330" s="12" t="inlineStr">
        <is>
          <t>Claude: manager questions</t>
        </is>
      </c>
      <c r="E330" s="12" t="inlineStr">
        <is>
          <t>Category</t>
        </is>
      </c>
      <c r="F330" s="13" t="n"/>
      <c r="G330" s="13" t="n"/>
      <c r="H330" s="14" t="n"/>
      <c r="I330" s="12" t="inlineStr">
        <is>
          <t>Commercial</t>
        </is>
      </c>
      <c r="J330" s="15" t="n">
        <v>3</v>
      </c>
      <c r="K330" s="16">
        <f>IF(I330="","",IF(I330="Transactional",3,IF(I330="Commercial",2,1)))</f>
        <v/>
      </c>
      <c r="L330" s="16">
        <f>IF(G330="","",IF(G330&lt;=20,3,IF(G330&lt;=50,2,1)))</f>
        <v/>
      </c>
      <c r="M330" s="16">
        <f>IF(OR(J330="",K330="",L330=""),"",J330+K330+L330)</f>
        <v/>
      </c>
      <c r="N330" s="11" t="inlineStr">
        <is>
          <t>FAQ</t>
        </is>
      </c>
      <c r="O330" s="12" t="inlineStr">
        <is>
          <t>/ai-coding-analytics</t>
        </is>
      </c>
      <c r="P330" s="12" t="inlineStr">
        <is>
          <t>Solution</t>
        </is>
      </c>
      <c r="Q330" s="14" t="n"/>
      <c r="R330" s="14" t="n"/>
      <c r="S330" s="14" t="n"/>
      <c r="T330" s="12" t="inlineStr">
        <is>
          <t>Not started</t>
        </is>
      </c>
      <c r="U330" s="12" t="inlineStr">
        <is>
          <t>AI-generated idea: confirm real demand (Google, Reddit) before writing a page for it</t>
        </is>
      </c>
    </row>
    <row r="331">
      <c r="A331" s="11" t="n">
        <v>330</v>
      </c>
      <c r="B331" s="12" t="inlineStr">
        <is>
          <t>How do I measure AI coding tool adoption on my team?</t>
        </is>
      </c>
      <c r="C331" s="17" t="inlineStr">
        <is>
          <t>AEO</t>
        </is>
      </c>
      <c r="D331" s="12" t="inlineStr">
        <is>
          <t>Claude: manager questions</t>
        </is>
      </c>
      <c r="E331" s="12" t="inlineStr">
        <is>
          <t>Category</t>
        </is>
      </c>
      <c r="F331" s="13" t="n"/>
      <c r="G331" s="13" t="n"/>
      <c r="H331" s="14" t="n"/>
      <c r="I331" s="12" t="inlineStr">
        <is>
          <t>Commercial</t>
        </is>
      </c>
      <c r="J331" s="15" t="n">
        <v>3</v>
      </c>
      <c r="K331" s="16">
        <f>IF(I331="","",IF(I331="Transactional",3,IF(I331="Commercial",2,1)))</f>
        <v/>
      </c>
      <c r="L331" s="16">
        <f>IF(G331="","",IF(G331&lt;=20,3,IF(G331&lt;=50,2,1)))</f>
        <v/>
      </c>
      <c r="M331" s="16">
        <f>IF(OR(J331="",K331="",L331=""),"",J331+K331+L331)</f>
        <v/>
      </c>
      <c r="N331" s="11" t="inlineStr">
        <is>
          <t>FAQ</t>
        </is>
      </c>
      <c r="O331" s="12" t="inlineStr">
        <is>
          <t>/ai-coding-analytics</t>
        </is>
      </c>
      <c r="P331" s="12" t="inlineStr">
        <is>
          <t>Solution</t>
        </is>
      </c>
      <c r="Q331" s="14" t="n"/>
      <c r="R331" s="14" t="n"/>
      <c r="S331" s="14" t="n"/>
      <c r="T331" s="12" t="inlineStr">
        <is>
          <t>Not started</t>
        </is>
      </c>
      <c r="U331" s="12" t="inlineStr">
        <is>
          <t>AI-generated idea: confirm real demand (Google, Reddit) before writing a page for it</t>
        </is>
      </c>
    </row>
    <row r="332">
      <c r="A332" s="11" t="n">
        <v>331</v>
      </c>
      <c r="B332" s="12" t="inlineStr">
        <is>
          <t>What percentage of my team actively uses AI coding assistants?</t>
        </is>
      </c>
      <c r="C332" s="17" t="inlineStr">
        <is>
          <t>AEO</t>
        </is>
      </c>
      <c r="D332" s="12" t="inlineStr">
        <is>
          <t>Claude: manager questions</t>
        </is>
      </c>
      <c r="E332" s="12" t="inlineStr">
        <is>
          <t>Category</t>
        </is>
      </c>
      <c r="F332" s="13" t="n"/>
      <c r="G332" s="13" t="n"/>
      <c r="H332" s="14" t="n"/>
      <c r="I332" s="12" t="inlineStr">
        <is>
          <t>Commercial</t>
        </is>
      </c>
      <c r="J332" s="15" t="n">
        <v>3</v>
      </c>
      <c r="K332" s="16">
        <f>IF(I332="","",IF(I332="Transactional",3,IF(I332="Commercial",2,1)))</f>
        <v/>
      </c>
      <c r="L332" s="16">
        <f>IF(G332="","",IF(G332&lt;=20,3,IF(G332&lt;=50,2,1)))</f>
        <v/>
      </c>
      <c r="M332" s="16">
        <f>IF(OR(J332="",K332="",L332=""),"",J332+K332+L332)</f>
        <v/>
      </c>
      <c r="N332" s="11" t="inlineStr">
        <is>
          <t>FAQ</t>
        </is>
      </c>
      <c r="O332" s="12" t="inlineStr">
        <is>
          <t>/ai-coding-analytics</t>
        </is>
      </c>
      <c r="P332" s="12" t="inlineStr">
        <is>
          <t>Solution</t>
        </is>
      </c>
      <c r="Q332" s="14" t="n"/>
      <c r="R332" s="14" t="n"/>
      <c r="S332" s="14" t="n"/>
      <c r="T332" s="12" t="inlineStr">
        <is>
          <t>Not started</t>
        </is>
      </c>
      <c r="U332" s="12" t="inlineStr">
        <is>
          <t>AI-generated idea: confirm real demand (Google, Reddit) before writing a page for it</t>
        </is>
      </c>
    </row>
    <row r="333">
      <c r="A333" s="11" t="n">
        <v>332</v>
      </c>
      <c r="B333" s="12" t="inlineStr">
        <is>
          <t>How do I compare AI tool usage across Cursor, Claude Code and Copilot?</t>
        </is>
      </c>
      <c r="C333" s="17" t="inlineStr">
        <is>
          <t>AEO</t>
        </is>
      </c>
      <c r="D333" s="12" t="inlineStr">
        <is>
          <t>Claude: manager questions</t>
        </is>
      </c>
      <c r="E333" s="12" t="inlineStr">
        <is>
          <t>Category</t>
        </is>
      </c>
      <c r="F333" s="13" t="n"/>
      <c r="G333" s="13" t="n"/>
      <c r="H333" s="14" t="n"/>
      <c r="I333" s="12" t="inlineStr">
        <is>
          <t>Commercial</t>
        </is>
      </c>
      <c r="J333" s="15" t="n">
        <v>3</v>
      </c>
      <c r="K333" s="16">
        <f>IF(I333="","",IF(I333="Transactional",3,IF(I333="Commercial",2,1)))</f>
        <v/>
      </c>
      <c r="L333" s="16">
        <f>IF(G333="","",IF(G333&lt;=20,3,IF(G333&lt;=50,2,1)))</f>
        <v/>
      </c>
      <c r="M333" s="16">
        <f>IF(OR(J333="",K333="",L333=""),"",J333+K333+L333)</f>
        <v/>
      </c>
      <c r="N333" s="11" t="inlineStr">
        <is>
          <t>FAQ</t>
        </is>
      </c>
      <c r="O333" s="12" t="inlineStr">
        <is>
          <t>/ai-coding-analytics</t>
        </is>
      </c>
      <c r="P333" s="12" t="inlineStr">
        <is>
          <t>Solution</t>
        </is>
      </c>
      <c r="Q333" s="14" t="n"/>
      <c r="R333" s="14" t="n"/>
      <c r="S333" s="14" t="n"/>
      <c r="T333" s="12" t="inlineStr">
        <is>
          <t>Not started</t>
        </is>
      </c>
      <c r="U333" s="12" t="inlineStr">
        <is>
          <t>AI-generated idea: confirm real demand (Google, Reddit) before writing a page for it</t>
        </is>
      </c>
    </row>
    <row r="334">
      <c r="A334" s="11" t="n">
        <v>333</v>
      </c>
      <c r="B334" s="12" t="inlineStr">
        <is>
          <t>How do I find out which projects my team uses AI on the most?</t>
        </is>
      </c>
      <c r="C334" s="17" t="inlineStr">
        <is>
          <t>AEO</t>
        </is>
      </c>
      <c r="D334" s="12" t="inlineStr">
        <is>
          <t>Claude: manager questions</t>
        </is>
      </c>
      <c r="E334" s="12" t="inlineStr">
        <is>
          <t>Category</t>
        </is>
      </c>
      <c r="F334" s="13" t="n"/>
      <c r="G334" s="13" t="n"/>
      <c r="H334" s="14" t="n"/>
      <c r="I334" s="12" t="inlineStr">
        <is>
          <t>Commercial</t>
        </is>
      </c>
      <c r="J334" s="15" t="n">
        <v>3</v>
      </c>
      <c r="K334" s="16">
        <f>IF(I334="","",IF(I334="Transactional",3,IF(I334="Commercial",2,1)))</f>
        <v/>
      </c>
      <c r="L334" s="16">
        <f>IF(G334="","",IF(G334&lt;=20,3,IF(G334&lt;=50,2,1)))</f>
        <v/>
      </c>
      <c r="M334" s="16">
        <f>IF(OR(J334="",K334="",L334=""),"",J334+K334+L334)</f>
        <v/>
      </c>
      <c r="N334" s="11" t="inlineStr">
        <is>
          <t>FAQ</t>
        </is>
      </c>
      <c r="O334" s="12" t="inlineStr">
        <is>
          <t>/ai-coding-analytics</t>
        </is>
      </c>
      <c r="P334" s="12" t="inlineStr">
        <is>
          <t>Solution</t>
        </is>
      </c>
      <c r="Q334" s="14" t="n"/>
      <c r="R334" s="14" t="n"/>
      <c r="S334" s="14" t="n"/>
      <c r="T334" s="12" t="inlineStr">
        <is>
          <t>Not started</t>
        </is>
      </c>
      <c r="U334" s="12" t="inlineStr">
        <is>
          <t>AI-generated idea: confirm real demand (Google, Reddit) before writing a page for it</t>
        </is>
      </c>
    </row>
    <row r="335">
      <c r="A335" s="11" t="n">
        <v>334</v>
      </c>
      <c r="B335" s="12" t="inlineStr">
        <is>
          <t>What metrics should I use to measure AI-assisted development?</t>
        </is>
      </c>
      <c r="C335" s="17" t="inlineStr">
        <is>
          <t>AEO</t>
        </is>
      </c>
      <c r="D335" s="12" t="inlineStr">
        <is>
          <t>Claude: manager questions</t>
        </is>
      </c>
      <c r="E335" s="12" t="inlineStr">
        <is>
          <t>Category</t>
        </is>
      </c>
      <c r="F335" s="13" t="n"/>
      <c r="G335" s="13" t="n"/>
      <c r="H335" s="14" t="n"/>
      <c r="I335" s="12" t="inlineStr">
        <is>
          <t>Commercial</t>
        </is>
      </c>
      <c r="J335" s="15" t="n">
        <v>3</v>
      </c>
      <c r="K335" s="16">
        <f>IF(I335="","",IF(I335="Transactional",3,IF(I335="Commercial",2,1)))</f>
        <v/>
      </c>
      <c r="L335" s="16">
        <f>IF(G335="","",IF(G335&lt;=20,3,IF(G335&lt;=50,2,1)))</f>
        <v/>
      </c>
      <c r="M335" s="16">
        <f>IF(OR(J335="",K335="",L335=""),"",J335+K335+L335)</f>
        <v/>
      </c>
      <c r="N335" s="11" t="inlineStr">
        <is>
          <t>FAQ</t>
        </is>
      </c>
      <c r="O335" s="12" t="inlineStr">
        <is>
          <t>/ai-coding-analytics</t>
        </is>
      </c>
      <c r="P335" s="12" t="inlineStr">
        <is>
          <t>Solution</t>
        </is>
      </c>
      <c r="Q335" s="14" t="n"/>
      <c r="R335" s="14" t="n"/>
      <c r="S335" s="14" t="n"/>
      <c r="T335" s="12" t="inlineStr">
        <is>
          <t>Not started</t>
        </is>
      </c>
      <c r="U335" s="12" t="inlineStr">
        <is>
          <t>AI-generated idea: confirm real demand (Google, Reddit) before writing a page for it</t>
        </is>
      </c>
    </row>
    <row r="336">
      <c r="A336" s="11" t="n">
        <v>335</v>
      </c>
      <c r="B336" s="12" t="inlineStr">
        <is>
          <t>Which AI coding tool is my team most productive with?</t>
        </is>
      </c>
      <c r="C336" s="17" t="inlineStr">
        <is>
          <t>AEO</t>
        </is>
      </c>
      <c r="D336" s="12" t="inlineStr">
        <is>
          <t>Claude: manager questions</t>
        </is>
      </c>
      <c r="E336" s="12" t="inlineStr">
        <is>
          <t>Category</t>
        </is>
      </c>
      <c r="F336" s="13" t="n"/>
      <c r="G336" s="13" t="n"/>
      <c r="H336" s="14" t="n"/>
      <c r="I336" s="12" t="inlineStr">
        <is>
          <t>Commercial</t>
        </is>
      </c>
      <c r="J336" s="15" t="n">
        <v>3</v>
      </c>
      <c r="K336" s="16">
        <f>IF(I336="","",IF(I336="Transactional",3,IF(I336="Commercial",2,1)))</f>
        <v/>
      </c>
      <c r="L336" s="16">
        <f>IF(G336="","",IF(G336&lt;=20,3,IF(G336&lt;=50,2,1)))</f>
        <v/>
      </c>
      <c r="M336" s="16">
        <f>IF(OR(J336="",K336="",L336=""),"",J336+K336+L336)</f>
        <v/>
      </c>
      <c r="N336" s="11" t="inlineStr">
        <is>
          <t>FAQ</t>
        </is>
      </c>
      <c r="O336" s="12" t="inlineStr">
        <is>
          <t>/ai-coding-analytics</t>
        </is>
      </c>
      <c r="P336" s="12" t="inlineStr">
        <is>
          <t>Solution</t>
        </is>
      </c>
      <c r="Q336" s="14" t="n"/>
      <c r="R336" s="14" t="n"/>
      <c r="S336" s="14" t="n"/>
      <c r="T336" s="12" t="inlineStr">
        <is>
          <t>Not started</t>
        </is>
      </c>
      <c r="U336" s="12" t="inlineStr">
        <is>
          <t>AI-generated idea: confirm real demand (Google, Reddit) before writing a page for it</t>
        </is>
      </c>
    </row>
    <row r="337">
      <c r="A337" s="11" t="n">
        <v>336</v>
      </c>
      <c r="B337" s="12" t="inlineStr">
        <is>
          <t>How can I track which AI models (Opus, Sonnet, GPT) my team uses?</t>
        </is>
      </c>
      <c r="C337" s="17" t="inlineStr">
        <is>
          <t>AEO</t>
        </is>
      </c>
      <c r="D337" s="12" t="inlineStr">
        <is>
          <t>Claude: manager questions</t>
        </is>
      </c>
      <c r="E337" s="12" t="inlineStr">
        <is>
          <t>Category</t>
        </is>
      </c>
      <c r="F337" s="13" t="n"/>
      <c r="G337" s="13" t="n"/>
      <c r="H337" s="14" t="n"/>
      <c r="I337" s="12" t="inlineStr">
        <is>
          <t>Commercial</t>
        </is>
      </c>
      <c r="J337" s="15" t="n">
        <v>3</v>
      </c>
      <c r="K337" s="16">
        <f>IF(I337="","",IF(I337="Transactional",3,IF(I337="Commercial",2,1)))</f>
        <v/>
      </c>
      <c r="L337" s="16">
        <f>IF(G337="","",IF(G337&lt;=20,3,IF(G337&lt;=50,2,1)))</f>
        <v/>
      </c>
      <c r="M337" s="16">
        <f>IF(OR(J337="",K337="",L337=""),"",J337+K337+L337)</f>
        <v/>
      </c>
      <c r="N337" s="11" t="inlineStr">
        <is>
          <t>FAQ</t>
        </is>
      </c>
      <c r="O337" s="12" t="inlineStr">
        <is>
          <t>/ai-coding-analytics</t>
        </is>
      </c>
      <c r="P337" s="12" t="inlineStr">
        <is>
          <t>Solution</t>
        </is>
      </c>
      <c r="Q337" s="14" t="n"/>
      <c r="R337" s="14" t="n"/>
      <c r="S337" s="14" t="n"/>
      <c r="T337" s="12" t="inlineStr">
        <is>
          <t>Not started</t>
        </is>
      </c>
      <c r="U337" s="12" t="inlineStr">
        <is>
          <t>AI-generated idea: confirm real demand (Google, Reddit) before writing a page for it</t>
        </is>
      </c>
    </row>
    <row r="338">
      <c r="A338" s="11" t="n">
        <v>337</v>
      </c>
      <c r="B338" s="12" t="inlineStr">
        <is>
          <t>What is the best dashboard for AI-assisted engineering teams?</t>
        </is>
      </c>
      <c r="C338" s="17" t="inlineStr">
        <is>
          <t>AEO</t>
        </is>
      </c>
      <c r="D338" s="12" t="inlineStr">
        <is>
          <t>Claude: manager questions</t>
        </is>
      </c>
      <c r="E338" s="12" t="inlineStr">
        <is>
          <t>Category</t>
        </is>
      </c>
      <c r="F338" s="13" t="n"/>
      <c r="G338" s="13" t="n"/>
      <c r="H338" s="14" t="n"/>
      <c r="I338" s="12" t="inlineStr">
        <is>
          <t>Commercial</t>
        </is>
      </c>
      <c r="J338" s="15" t="n">
        <v>3</v>
      </c>
      <c r="K338" s="16">
        <f>IF(I338="","",IF(I338="Transactional",3,IF(I338="Commercial",2,1)))</f>
        <v/>
      </c>
      <c r="L338" s="16">
        <f>IF(G338="","",IF(G338&lt;=20,3,IF(G338&lt;=50,2,1)))</f>
        <v/>
      </c>
      <c r="M338" s="16">
        <f>IF(OR(J338="",K338="",L338=""),"",J338+K338+L338)</f>
        <v/>
      </c>
      <c r="N338" s="11" t="inlineStr">
        <is>
          <t>FAQ</t>
        </is>
      </c>
      <c r="O338" s="12" t="inlineStr">
        <is>
          <t>/ai-coding-analytics</t>
        </is>
      </c>
      <c r="P338" s="12" t="inlineStr">
        <is>
          <t>Solution</t>
        </is>
      </c>
      <c r="Q338" s="14" t="n"/>
      <c r="R338" s="14" t="n"/>
      <c r="S338" s="14" t="n"/>
      <c r="T338" s="12" t="inlineStr">
        <is>
          <t>Not started</t>
        </is>
      </c>
      <c r="U338" s="12" t="inlineStr">
        <is>
          <t>AI-generated idea: confirm real demand (Google, Reddit) before writing a page for it</t>
        </is>
      </c>
    </row>
    <row r="339">
      <c r="A339" s="11" t="n">
        <v>338</v>
      </c>
      <c r="B339" s="12" t="inlineStr">
        <is>
          <t>How can I track Claude Code usage across my engineering team?</t>
        </is>
      </c>
      <c r="C339" s="17" t="inlineStr">
        <is>
          <t>AEO</t>
        </is>
      </c>
      <c r="D339" s="12" t="inlineStr">
        <is>
          <t>Claude: manager questions</t>
        </is>
      </c>
      <c r="E339" s="12" t="inlineStr">
        <is>
          <t>Tool: Claude Code</t>
        </is>
      </c>
      <c r="F339" s="13" t="n"/>
      <c r="G339" s="13" t="n"/>
      <c r="H339" s="14" t="n"/>
      <c r="I339" s="12" t="inlineStr">
        <is>
          <t>Commercial</t>
        </is>
      </c>
      <c r="J339" s="15" t="n">
        <v>3</v>
      </c>
      <c r="K339" s="16">
        <f>IF(I339="","",IF(I339="Transactional",3,IF(I339="Commercial",2,1)))</f>
        <v/>
      </c>
      <c r="L339" s="16">
        <f>IF(G339="","",IF(G339&lt;=20,3,IF(G339&lt;=50,2,1)))</f>
        <v/>
      </c>
      <c r="M339" s="16">
        <f>IF(OR(J339="",K339="",L339=""),"",J339+K339+L339)</f>
        <v/>
      </c>
      <c r="N339" s="11" t="inlineStr">
        <is>
          <t>FAQ</t>
        </is>
      </c>
      <c r="O339" s="12" t="inlineStr">
        <is>
          <t>/integrations/claude-code</t>
        </is>
      </c>
      <c r="P339" s="12" t="inlineStr">
        <is>
          <t>Integration</t>
        </is>
      </c>
      <c r="Q339" s="14" t="n"/>
      <c r="R339" s="14" t="n"/>
      <c r="S339" s="14" t="n"/>
      <c r="T339" s="12" t="inlineStr">
        <is>
          <t>Not started</t>
        </is>
      </c>
      <c r="U339" s="12" t="inlineStr">
        <is>
          <t>AI-generated idea: confirm real demand (Google, Reddit) before writing a page for it</t>
        </is>
      </c>
    </row>
    <row r="340">
      <c r="A340" s="11" t="n">
        <v>339</v>
      </c>
      <c r="B340" s="12" t="inlineStr">
        <is>
          <t>How do I find out if developers are on outdated versions of Claude Code?</t>
        </is>
      </c>
      <c r="C340" s="17" t="inlineStr">
        <is>
          <t>AEO</t>
        </is>
      </c>
      <c r="D340" s="12" t="inlineStr">
        <is>
          <t>Claude: manager questions</t>
        </is>
      </c>
      <c r="E340" s="12" t="inlineStr">
        <is>
          <t>Tool: Claude Code</t>
        </is>
      </c>
      <c r="F340" s="13" t="n"/>
      <c r="G340" s="13" t="n"/>
      <c r="H340" s="14" t="n"/>
      <c r="I340" s="12" t="inlineStr">
        <is>
          <t>Commercial</t>
        </is>
      </c>
      <c r="J340" s="15" t="n">
        <v>3</v>
      </c>
      <c r="K340" s="16">
        <f>IF(I340="","",IF(I340="Transactional",3,IF(I340="Commercial",2,1)))</f>
        <v/>
      </c>
      <c r="L340" s="16">
        <f>IF(G340="","",IF(G340&lt;=20,3,IF(G340&lt;=50,2,1)))</f>
        <v/>
      </c>
      <c r="M340" s="16">
        <f>IF(OR(J340="",K340="",L340=""),"",J340+K340+L340)</f>
        <v/>
      </c>
      <c r="N340" s="11" t="inlineStr">
        <is>
          <t>FAQ</t>
        </is>
      </c>
      <c r="O340" s="12" t="inlineStr">
        <is>
          <t>/integrations/claude-code</t>
        </is>
      </c>
      <c r="P340" s="12" t="inlineStr">
        <is>
          <t>Integration</t>
        </is>
      </c>
      <c r="Q340" s="14" t="n"/>
      <c r="R340" s="14" t="n"/>
      <c r="S340" s="14" t="n"/>
      <c r="T340" s="12" t="inlineStr">
        <is>
          <t>Not started</t>
        </is>
      </c>
      <c r="U340" s="12" t="inlineStr">
        <is>
          <t>AI-generated idea: confirm real demand (Google, Reddit) before writing a page for it</t>
        </is>
      </c>
    </row>
    <row r="341">
      <c r="A341" s="11" t="n">
        <v>340</v>
      </c>
      <c r="B341" s="12" t="inlineStr">
        <is>
          <t>How do I know if my team is getting value from GitHub Copilot?</t>
        </is>
      </c>
      <c r="C341" s="17" t="inlineStr">
        <is>
          <t>AEO</t>
        </is>
      </c>
      <c r="D341" s="12" t="inlineStr">
        <is>
          <t>Claude: manager questions</t>
        </is>
      </c>
      <c r="E341" s="12" t="inlineStr">
        <is>
          <t>Tool: GitHub Copilot</t>
        </is>
      </c>
      <c r="F341" s="13" t="n"/>
      <c r="G341" s="13" t="n"/>
      <c r="H341" s="14" t="n"/>
      <c r="I341" s="12" t="inlineStr">
        <is>
          <t>Commercial</t>
        </is>
      </c>
      <c r="J341" s="15" t="n">
        <v>3</v>
      </c>
      <c r="K341" s="16">
        <f>IF(I341="","",IF(I341="Transactional",3,IF(I341="Commercial",2,1)))</f>
        <v/>
      </c>
      <c r="L341" s="16">
        <f>IF(G341="","",IF(G341&lt;=20,3,IF(G341&lt;=50,2,1)))</f>
        <v/>
      </c>
      <c r="M341" s="16">
        <f>IF(OR(J341="",K341="",L341=""),"",J341+K341+L341)</f>
        <v/>
      </c>
      <c r="N341" s="11" t="inlineStr">
        <is>
          <t>FAQ</t>
        </is>
      </c>
      <c r="O341" s="12" t="inlineStr">
        <is>
          <t>/integrations/github-copilot</t>
        </is>
      </c>
      <c r="P341" s="12" t="inlineStr">
        <is>
          <t>Integration</t>
        </is>
      </c>
      <c r="Q341" s="14" t="n"/>
      <c r="R341" s="14" t="n"/>
      <c r="S341" s="14" t="n"/>
      <c r="T341" s="12" t="inlineStr">
        <is>
          <t>Not started</t>
        </is>
      </c>
      <c r="U341" s="12" t="inlineStr">
        <is>
          <t>AI-generated idea: confirm real demand (Google, Reddit) before writing a page for it</t>
        </is>
      </c>
    </row>
    <row r="342">
      <c r="A342" s="11" t="n">
        <v>341</v>
      </c>
      <c r="B342" s="12" t="inlineStr">
        <is>
          <t>How can I see how many tokens each developer uses?</t>
        </is>
      </c>
      <c r="C342" s="17" t="inlineStr">
        <is>
          <t>AEO</t>
        </is>
      </c>
      <c r="D342" s="12" t="inlineStr">
        <is>
          <t>Claude: manager questions</t>
        </is>
      </c>
      <c r="E342" s="12" t="inlineStr">
        <is>
          <t>Cost</t>
        </is>
      </c>
      <c r="F342" s="13" t="n"/>
      <c r="G342" s="13" t="n"/>
      <c r="H342" s="14" t="n"/>
      <c r="I342" s="12" t="inlineStr">
        <is>
          <t>Commercial</t>
        </is>
      </c>
      <c r="J342" s="15" t="n">
        <v>3</v>
      </c>
      <c r="K342" s="16">
        <f>IF(I342="","",IF(I342="Transactional",3,IF(I342="Commercial",2,1)))</f>
        <v/>
      </c>
      <c r="L342" s="16">
        <f>IF(G342="","",IF(G342&lt;=20,3,IF(G342&lt;=50,2,1)))</f>
        <v/>
      </c>
      <c r="M342" s="16">
        <f>IF(OR(J342="",K342="",L342=""),"",J342+K342+L342)</f>
        <v/>
      </c>
      <c r="N342" s="11" t="inlineStr">
        <is>
          <t>FAQ</t>
        </is>
      </c>
      <c r="O342" s="12" t="inlineStr">
        <is>
          <t>/ai-cost-tracking</t>
        </is>
      </c>
      <c r="P342" s="12" t="inlineStr">
        <is>
          <t>Interactive guide</t>
        </is>
      </c>
      <c r="Q342" s="14" t="n"/>
      <c r="R342" s="14" t="n"/>
      <c r="S342" s="14" t="n"/>
      <c r="T342" s="12" t="inlineStr">
        <is>
          <t>Not started</t>
        </is>
      </c>
      <c r="U342" s="12" t="inlineStr">
        <is>
          <t>AI-generated idea: confirm real demand (Google, Reddit) before writing a page for it</t>
        </is>
      </c>
    </row>
    <row r="343">
      <c r="A343" s="11" t="n">
        <v>342</v>
      </c>
      <c r="B343" s="12" t="inlineStr">
        <is>
          <t>How do I track AI coding costs per developer?</t>
        </is>
      </c>
      <c r="C343" s="17" t="inlineStr">
        <is>
          <t>AEO</t>
        </is>
      </c>
      <c r="D343" s="12" t="inlineStr">
        <is>
          <t>Claude: manager questions</t>
        </is>
      </c>
      <c r="E343" s="12" t="inlineStr">
        <is>
          <t>Cost</t>
        </is>
      </c>
      <c r="F343" s="13" t="n"/>
      <c r="G343" s="13" t="n"/>
      <c r="H343" s="14" t="n"/>
      <c r="I343" s="12" t="inlineStr">
        <is>
          <t>Commercial</t>
        </is>
      </c>
      <c r="J343" s="15" t="n">
        <v>3</v>
      </c>
      <c r="K343" s="16">
        <f>IF(I343="","",IF(I343="Transactional",3,IF(I343="Commercial",2,1)))</f>
        <v/>
      </c>
      <c r="L343" s="16">
        <f>IF(G343="","",IF(G343&lt;=20,3,IF(G343&lt;=50,2,1)))</f>
        <v/>
      </c>
      <c r="M343" s="16">
        <f>IF(OR(J343="",K343="",L343=""),"",J343+K343+L343)</f>
        <v/>
      </c>
      <c r="N343" s="11" t="inlineStr">
        <is>
          <t>FAQ</t>
        </is>
      </c>
      <c r="O343" s="12" t="inlineStr">
        <is>
          <t>/ai-cost-tracking</t>
        </is>
      </c>
      <c r="P343" s="12" t="inlineStr">
        <is>
          <t>Interactive guide</t>
        </is>
      </c>
      <c r="Q343" s="14" t="n"/>
      <c r="R343" s="14" t="n"/>
      <c r="S343" s="14" t="n"/>
      <c r="T343" s="12" t="inlineStr">
        <is>
          <t>Not started</t>
        </is>
      </c>
      <c r="U343" s="12" t="inlineStr">
        <is>
          <t>AI-generated idea: confirm real demand (Google, Reddit) before writing a page for it</t>
        </is>
      </c>
    </row>
    <row r="344">
      <c r="A344" s="11" t="n">
        <v>343</v>
      </c>
      <c r="B344" s="12" t="inlineStr">
        <is>
          <t>How do I set a budget for AI coding tools per team?</t>
        </is>
      </c>
      <c r="C344" s="17" t="inlineStr">
        <is>
          <t>AEO</t>
        </is>
      </c>
      <c r="D344" s="12" t="inlineStr">
        <is>
          <t>Claude: manager questions</t>
        </is>
      </c>
      <c r="E344" s="12" t="inlineStr">
        <is>
          <t>Cost</t>
        </is>
      </c>
      <c r="F344" s="13" t="n"/>
      <c r="G344" s="13" t="n"/>
      <c r="H344" s="14" t="n"/>
      <c r="I344" s="12" t="inlineStr">
        <is>
          <t>Commercial</t>
        </is>
      </c>
      <c r="J344" s="15" t="n">
        <v>3</v>
      </c>
      <c r="K344" s="16">
        <f>IF(I344="","",IF(I344="Transactional",3,IF(I344="Commercial",2,1)))</f>
        <v/>
      </c>
      <c r="L344" s="16">
        <f>IF(G344="","",IF(G344&lt;=20,3,IF(G344&lt;=50,2,1)))</f>
        <v/>
      </c>
      <c r="M344" s="16">
        <f>IF(OR(J344="",K344="",L344=""),"",J344+K344+L344)</f>
        <v/>
      </c>
      <c r="N344" s="11" t="inlineStr">
        <is>
          <t>FAQ</t>
        </is>
      </c>
      <c r="O344" s="12" t="inlineStr">
        <is>
          <t>/ai-cost-tracking</t>
        </is>
      </c>
      <c r="P344" s="12" t="inlineStr">
        <is>
          <t>Interactive guide</t>
        </is>
      </c>
      <c r="Q344" s="14" t="n"/>
      <c r="R344" s="14" t="n"/>
      <c r="S344" s="14" t="n"/>
      <c r="T344" s="12" t="inlineStr">
        <is>
          <t>Not started</t>
        </is>
      </c>
      <c r="U344" s="12" t="inlineStr">
        <is>
          <t>AI-generated idea: confirm real demand (Google, Reddit) before writing a page for it</t>
        </is>
      </c>
    </row>
    <row r="345">
      <c r="A345" s="11" t="n">
        <v>344</v>
      </c>
      <c r="B345" s="12" t="inlineStr">
        <is>
          <t>How do I report AI tool ROI to leadership?</t>
        </is>
      </c>
      <c r="C345" s="17" t="inlineStr">
        <is>
          <t>AEO</t>
        </is>
      </c>
      <c r="D345" s="12" t="inlineStr">
        <is>
          <t>Claude: manager questions</t>
        </is>
      </c>
      <c r="E345" s="12" t="inlineStr">
        <is>
          <t>Cost</t>
        </is>
      </c>
      <c r="F345" s="13" t="n"/>
      <c r="G345" s="13" t="n"/>
      <c r="H345" s="14" t="n"/>
      <c r="I345" s="12" t="inlineStr">
        <is>
          <t>Informational</t>
        </is>
      </c>
      <c r="J345" s="15" t="n">
        <v>2</v>
      </c>
      <c r="K345" s="16">
        <f>IF(I345="","",IF(I345="Transactional",3,IF(I345="Commercial",2,1)))</f>
        <v/>
      </c>
      <c r="L345" s="16">
        <f>IF(G345="","",IF(G345&lt;=20,3,IF(G345&lt;=50,2,1)))</f>
        <v/>
      </c>
      <c r="M345" s="16">
        <f>IF(OR(J345="",K345="",L345=""),"",J345+K345+L345)</f>
        <v/>
      </c>
      <c r="N345" s="11" t="inlineStr">
        <is>
          <t>FAQ</t>
        </is>
      </c>
      <c r="O345" s="12" t="inlineStr">
        <is>
          <t>/blog/ai-coding-roi</t>
        </is>
      </c>
      <c r="P345" s="12" t="inlineStr">
        <is>
          <t>Interactive guide</t>
        </is>
      </c>
      <c r="Q345" s="14" t="n"/>
      <c r="R345" s="14" t="n"/>
      <c r="S345" s="14" t="n"/>
      <c r="T345" s="12" t="inlineStr">
        <is>
          <t>Not started</t>
        </is>
      </c>
      <c r="U345" s="12" t="inlineStr">
        <is>
          <t>AI-generated idea: confirm real demand (Google, Reddit) before writing a page for it</t>
        </is>
      </c>
    </row>
    <row r="346">
      <c r="A346" s="11" t="n">
        <v>345</v>
      </c>
      <c r="B346" s="12" t="inlineStr">
        <is>
          <t>How can I tell if a developer is about to hit their Claude usage limit?</t>
        </is>
      </c>
      <c r="C346" s="17" t="inlineStr">
        <is>
          <t>AEO</t>
        </is>
      </c>
      <c r="D346" s="12" t="inlineStr">
        <is>
          <t>Claude: manager questions</t>
        </is>
      </c>
      <c r="E346" s="12" t="inlineStr">
        <is>
          <t>Limits</t>
        </is>
      </c>
      <c r="F346" s="13" t="n"/>
      <c r="G346" s="13" t="n"/>
      <c r="H346" s="14" t="n"/>
      <c r="I346" s="12" t="inlineStr">
        <is>
          <t>Commercial</t>
        </is>
      </c>
      <c r="J346" s="15" t="n">
        <v>3</v>
      </c>
      <c r="K346" s="16">
        <f>IF(I346="","",IF(I346="Transactional",3,IF(I346="Commercial",2,1)))</f>
        <v/>
      </c>
      <c r="L346" s="16">
        <f>IF(G346="","",IF(G346&lt;=20,3,IF(G346&lt;=50,2,1)))</f>
        <v/>
      </c>
      <c r="M346" s="16">
        <f>IF(OR(J346="",K346="",L346=""),"",J346+K346+L346)</f>
        <v/>
      </c>
      <c r="N346" s="11" t="inlineStr">
        <is>
          <t>FAQ</t>
        </is>
      </c>
      <c r="O346" s="12" t="inlineStr">
        <is>
          <t>/plan-headroom</t>
        </is>
      </c>
      <c r="P346" s="12" t="inlineStr">
        <is>
          <t>Feature</t>
        </is>
      </c>
      <c r="Q346" s="14" t="n"/>
      <c r="R346" s="14" t="n"/>
      <c r="S346" s="14" t="n"/>
      <c r="T346" s="12" t="inlineStr">
        <is>
          <t>Not started</t>
        </is>
      </c>
      <c r="U346" s="12" t="inlineStr">
        <is>
          <t>AI-generated idea: confirm real demand (Google, Reddit) before writing a page for it</t>
        </is>
      </c>
    </row>
    <row r="347">
      <c r="A347" s="11" t="n">
        <v>346</v>
      </c>
      <c r="B347" s="12" t="inlineStr">
        <is>
          <t>How do I plan sprints around AI plan limits?</t>
        </is>
      </c>
      <c r="C347" s="17" t="inlineStr">
        <is>
          <t>AEO</t>
        </is>
      </c>
      <c r="D347" s="12" t="inlineStr">
        <is>
          <t>Claude: manager questions</t>
        </is>
      </c>
      <c r="E347" s="12" t="inlineStr">
        <is>
          <t>Limits</t>
        </is>
      </c>
      <c r="F347" s="13" t="n"/>
      <c r="G347" s="13" t="n"/>
      <c r="H347" s="14" t="n"/>
      <c r="I347" s="12" t="inlineStr">
        <is>
          <t>Commercial</t>
        </is>
      </c>
      <c r="J347" s="15" t="n">
        <v>3</v>
      </c>
      <c r="K347" s="16">
        <f>IF(I347="","",IF(I347="Transactional",3,IF(I347="Commercial",2,1)))</f>
        <v/>
      </c>
      <c r="L347" s="16">
        <f>IF(G347="","",IF(G347&lt;=20,3,IF(G347&lt;=50,2,1)))</f>
        <v/>
      </c>
      <c r="M347" s="16">
        <f>IF(OR(J347="",K347="",L347=""),"",J347+K347+L347)</f>
        <v/>
      </c>
      <c r="N347" s="11" t="inlineStr">
        <is>
          <t>FAQ</t>
        </is>
      </c>
      <c r="O347" s="12" t="inlineStr">
        <is>
          <t>/plan-headroom</t>
        </is>
      </c>
      <c r="P347" s="12" t="inlineStr">
        <is>
          <t>Feature</t>
        </is>
      </c>
      <c r="Q347" s="14" t="n"/>
      <c r="R347" s="14" t="n"/>
      <c r="S347" s="14" t="n"/>
      <c r="T347" s="12" t="inlineStr">
        <is>
          <t>Not started</t>
        </is>
      </c>
      <c r="U347" s="12" t="inlineStr">
        <is>
          <t>AI-generated idea: confirm real demand (Google, Reddit) before writing a page for it</t>
        </is>
      </c>
    </row>
    <row r="348">
      <c r="A348" s="11" t="n">
        <v>347</v>
      </c>
      <c r="B348" s="12" t="inlineStr">
        <is>
          <t>How do I know if developers are sharing AI tool accounts?</t>
        </is>
      </c>
      <c r="C348" s="17" t="inlineStr">
        <is>
          <t>AEO</t>
        </is>
      </c>
      <c r="D348" s="12" t="inlineStr">
        <is>
          <t>Claude: manager questions</t>
        </is>
      </c>
      <c r="E348" s="12" t="inlineStr">
        <is>
          <t>Shadow AI &amp; Seats</t>
        </is>
      </c>
      <c r="F348" s="13" t="n"/>
      <c r="G348" s="13" t="n"/>
      <c r="H348" s="14" t="n"/>
      <c r="I348" s="12" t="inlineStr">
        <is>
          <t>Commercial</t>
        </is>
      </c>
      <c r="J348" s="15" t="n">
        <v>3</v>
      </c>
      <c r="K348" s="16">
        <f>IF(I348="","",IF(I348="Transactional",3,IF(I348="Commercial",2,1)))</f>
        <v/>
      </c>
      <c r="L348" s="16">
        <f>IF(G348="","",IF(G348&lt;=20,3,IF(G348&lt;=50,2,1)))</f>
        <v/>
      </c>
      <c r="M348" s="16">
        <f>IF(OR(J348="",K348="",L348=""),"",J348+K348+L348)</f>
        <v/>
      </c>
      <c r="N348" s="11" t="inlineStr">
        <is>
          <t>FAQ</t>
        </is>
      </c>
      <c r="O348" s="12" t="inlineStr">
        <is>
          <t>/shadow-ai</t>
        </is>
      </c>
      <c r="P348" s="12" t="inlineStr">
        <is>
          <t>Solution</t>
        </is>
      </c>
      <c r="Q348" s="14" t="n"/>
      <c r="R348" s="14" t="n"/>
      <c r="S348" s="14" t="n"/>
      <c r="T348" s="12" t="inlineStr">
        <is>
          <t>Not started</t>
        </is>
      </c>
      <c r="U348" s="12" t="inlineStr">
        <is>
          <t>AI-generated idea: confirm real demand (Google, Reddit) before writing a page for it</t>
        </is>
      </c>
    </row>
    <row r="349">
      <c r="A349" s="11" t="n">
        <v>348</v>
      </c>
      <c r="B349" s="12" t="inlineStr">
        <is>
          <t>How can I find unused Copilot or Cursor seats?</t>
        </is>
      </c>
      <c r="C349" s="17" t="inlineStr">
        <is>
          <t>AEO</t>
        </is>
      </c>
      <c r="D349" s="12" t="inlineStr">
        <is>
          <t>Claude: manager questions</t>
        </is>
      </c>
      <c r="E349" s="12" t="inlineStr">
        <is>
          <t>Shadow AI &amp; Seats</t>
        </is>
      </c>
      <c r="F349" s="13" t="n"/>
      <c r="G349" s="13" t="n"/>
      <c r="H349" s="14" t="n"/>
      <c r="I349" s="12" t="inlineStr">
        <is>
          <t>Commercial</t>
        </is>
      </c>
      <c r="J349" s="15" t="n">
        <v>3</v>
      </c>
      <c r="K349" s="16">
        <f>IF(I349="","",IF(I349="Transactional",3,IF(I349="Commercial",2,1)))</f>
        <v/>
      </c>
      <c r="L349" s="16">
        <f>IF(G349="","",IF(G349&lt;=20,3,IF(G349&lt;=50,2,1)))</f>
        <v/>
      </c>
      <c r="M349" s="16">
        <f>IF(OR(J349="",K349="",L349=""),"",J349+K349+L349)</f>
        <v/>
      </c>
      <c r="N349" s="11" t="inlineStr">
        <is>
          <t>FAQ</t>
        </is>
      </c>
      <c r="O349" s="12" t="inlineStr">
        <is>
          <t>/shadow-ai</t>
        </is>
      </c>
      <c r="P349" s="12" t="inlineStr">
        <is>
          <t>Solution</t>
        </is>
      </c>
      <c r="Q349" s="14" t="n"/>
      <c r="R349" s="14" t="n"/>
      <c r="S349" s="14" t="n"/>
      <c r="T349" s="12" t="inlineStr">
        <is>
          <t>Not started</t>
        </is>
      </c>
      <c r="U349" s="12" t="inlineStr">
        <is>
          <t>AI-generated idea: confirm real demand (Google, Reddit) before writing a page for it</t>
        </is>
      </c>
    </row>
    <row r="350">
      <c r="A350" s="11" t="n">
        <v>349</v>
      </c>
      <c r="B350" s="12" t="inlineStr">
        <is>
          <t>How do I know which AI tools my developers use without approval?</t>
        </is>
      </c>
      <c r="C350" s="17" t="inlineStr">
        <is>
          <t>AEO</t>
        </is>
      </c>
      <c r="D350" s="12" t="inlineStr">
        <is>
          <t>Claude: manager questions</t>
        </is>
      </c>
      <c r="E350" s="12" t="inlineStr">
        <is>
          <t>Shadow AI &amp; Seats</t>
        </is>
      </c>
      <c r="F350" s="13" t="n"/>
      <c r="G350" s="13" t="n"/>
      <c r="H350" s="14" t="n"/>
      <c r="I350" s="12" t="inlineStr">
        <is>
          <t>Commercial</t>
        </is>
      </c>
      <c r="J350" s="15" t="n">
        <v>3</v>
      </c>
      <c r="K350" s="16">
        <f>IF(I350="","",IF(I350="Transactional",3,IF(I350="Commercial",2,1)))</f>
        <v/>
      </c>
      <c r="L350" s="16">
        <f>IF(G350="","",IF(G350&lt;=20,3,IF(G350&lt;=50,2,1)))</f>
        <v/>
      </c>
      <c r="M350" s="16">
        <f>IF(OR(J350="",K350="",L350=""),"",J350+K350+L350)</f>
        <v/>
      </c>
      <c r="N350" s="11" t="inlineStr">
        <is>
          <t>FAQ</t>
        </is>
      </c>
      <c r="O350" s="12" t="inlineStr">
        <is>
          <t>/shadow-ai</t>
        </is>
      </c>
      <c r="P350" s="12" t="inlineStr">
        <is>
          <t>Solution</t>
        </is>
      </c>
      <c r="Q350" s="14" t="n"/>
      <c r="R350" s="14" t="n"/>
      <c r="S350" s="14" t="n"/>
      <c r="T350" s="12" t="inlineStr">
        <is>
          <t>Not started</t>
        </is>
      </c>
      <c r="U350" s="12" t="inlineStr">
        <is>
          <t>AI-generated idea: confirm real demand (Google, Reddit) before writing a page for it</t>
        </is>
      </c>
    </row>
    <row r="351">
      <c r="A351" s="11" t="n">
        <v>350</v>
      </c>
      <c r="B351" s="12" t="inlineStr">
        <is>
          <t>How do I detect secrets or API keys pasted into AI tools?</t>
        </is>
      </c>
      <c r="C351" s="17" t="inlineStr">
        <is>
          <t>AEO</t>
        </is>
      </c>
      <c r="D351" s="12" t="inlineStr">
        <is>
          <t>Claude: manager questions</t>
        </is>
      </c>
      <c r="E351" s="12" t="inlineStr">
        <is>
          <t>Shadow AI &amp; Seats</t>
        </is>
      </c>
      <c r="F351" s="13" t="n"/>
      <c r="G351" s="13" t="n"/>
      <c r="H351" s="14" t="n"/>
      <c r="I351" s="12" t="inlineStr">
        <is>
          <t>Commercial</t>
        </is>
      </c>
      <c r="J351" s="15" t="n">
        <v>3</v>
      </c>
      <c r="K351" s="16">
        <f>IF(I351="","",IF(I351="Transactional",3,IF(I351="Commercial",2,1)))</f>
        <v/>
      </c>
      <c r="L351" s="16">
        <f>IF(G351="","",IF(G351&lt;=20,3,IF(G351&lt;=50,2,1)))</f>
        <v/>
      </c>
      <c r="M351" s="16">
        <f>IF(OR(J351="",K351="",L351=""),"",J351+K351+L351)</f>
        <v/>
      </c>
      <c r="N351" s="11" t="inlineStr">
        <is>
          <t>FAQ</t>
        </is>
      </c>
      <c r="O351" s="12" t="inlineStr">
        <is>
          <t>/shadow-ai</t>
        </is>
      </c>
      <c r="P351" s="12" t="inlineStr">
        <is>
          <t>Solution</t>
        </is>
      </c>
      <c r="Q351" s="14" t="n"/>
      <c r="R351" s="14" t="n"/>
      <c r="S351" s="14" t="n"/>
      <c r="T351" s="12" t="inlineStr">
        <is>
          <t>Not started</t>
        </is>
      </c>
      <c r="U351" s="12" t="inlineStr">
        <is>
          <t>AI-generated idea: confirm real demand (Google, Reddit) before writing a page for it</t>
        </is>
      </c>
    </row>
    <row r="352">
      <c r="A352" s="11" t="n">
        <v>351</v>
      </c>
      <c r="B352" s="12" t="inlineStr">
        <is>
          <t>How do I track AI usage without making developers feel monitored?</t>
        </is>
      </c>
      <c r="C352" s="17" t="inlineStr">
        <is>
          <t>AEO</t>
        </is>
      </c>
      <c r="D352" s="12" t="inlineStr">
        <is>
          <t>Claude: manager questions</t>
        </is>
      </c>
      <c r="E352" s="12" t="inlineStr">
        <is>
          <t>Privacy &amp; Self-hosted</t>
        </is>
      </c>
      <c r="F352" s="13" t="n"/>
      <c r="G352" s="13" t="n"/>
      <c r="H352" s="14" t="n"/>
      <c r="I352" s="12" t="inlineStr">
        <is>
          <t>Commercial</t>
        </is>
      </c>
      <c r="J352" s="15" t="n">
        <v>3</v>
      </c>
      <c r="K352" s="16">
        <f>IF(I352="","",IF(I352="Transactional",3,IF(I352="Commercial",2,1)))</f>
        <v/>
      </c>
      <c r="L352" s="16">
        <f>IF(G352="","",IF(G352&lt;=20,3,IF(G352&lt;=50,2,1)))</f>
        <v/>
      </c>
      <c r="M352" s="16">
        <f>IF(OR(J352="",K352="",L352=""),"",J352+K352+L352)</f>
        <v/>
      </c>
      <c r="N352" s="11" t="inlineStr">
        <is>
          <t>FAQ</t>
        </is>
      </c>
      <c r="O352" s="12" t="inlineStr">
        <is>
          <t>/privacy</t>
        </is>
      </c>
      <c r="P352" s="12" t="inlineStr">
        <is>
          <t>Trust</t>
        </is>
      </c>
      <c r="Q352" s="14" t="n"/>
      <c r="R352" s="14" t="n"/>
      <c r="S352" s="14" t="n"/>
      <c r="T352" s="12" t="inlineStr">
        <is>
          <t>Not started</t>
        </is>
      </c>
      <c r="U352" s="12" t="inlineStr">
        <is>
          <t>AI-generated idea: confirm real demand (Google, Reddit) before writing a page for it</t>
        </is>
      </c>
    </row>
    <row r="353">
      <c r="A353" s="11" t="n">
        <v>352</v>
      </c>
      <c r="B353" s="12" t="inlineStr">
        <is>
          <t>Can I track AI coding usage without reading developers' prompts?</t>
        </is>
      </c>
      <c r="C353" s="17" t="inlineStr">
        <is>
          <t>AEO</t>
        </is>
      </c>
      <c r="D353" s="12" t="inlineStr">
        <is>
          <t>Claude: manager questions</t>
        </is>
      </c>
      <c r="E353" s="12" t="inlineStr">
        <is>
          <t>Privacy &amp; Self-hosted</t>
        </is>
      </c>
      <c r="F353" s="13" t="n"/>
      <c r="G353" s="13" t="n"/>
      <c r="H353" s="14" t="n"/>
      <c r="I353" s="12" t="inlineStr">
        <is>
          <t>Commercial</t>
        </is>
      </c>
      <c r="J353" s="15" t="n">
        <v>3</v>
      </c>
      <c r="K353" s="16">
        <f>IF(I353="","",IF(I353="Transactional",3,IF(I353="Commercial",2,1)))</f>
        <v/>
      </c>
      <c r="L353" s="16">
        <f>IF(G353="","",IF(G353&lt;=20,3,IF(G353&lt;=50,2,1)))</f>
        <v/>
      </c>
      <c r="M353" s="16">
        <f>IF(OR(J353="",K353="",L353=""),"",J353+K353+L353)</f>
        <v/>
      </c>
      <c r="N353" s="11" t="inlineStr">
        <is>
          <t>FAQ</t>
        </is>
      </c>
      <c r="O353" s="12" t="inlineStr">
        <is>
          <t>/privacy</t>
        </is>
      </c>
      <c r="P353" s="12" t="inlineStr">
        <is>
          <t>Trust</t>
        </is>
      </c>
      <c r="Q353" s="14" t="n"/>
      <c r="R353" s="14" t="n"/>
      <c r="S353" s="14" t="n"/>
      <c r="T353" s="12" t="inlineStr">
        <is>
          <t>Not started</t>
        </is>
      </c>
      <c r="U353" s="12" t="inlineStr">
        <is>
          <t>AI-generated idea: confirm real demand (Google, Reddit) before writing a page for it</t>
        </is>
      </c>
    </row>
    <row r="354">
      <c r="A354" s="11" t="n">
        <v>353</v>
      </c>
      <c r="B354" s="12" t="inlineStr">
        <is>
          <t>Is it ethical to track developers' AI tool usage?</t>
        </is>
      </c>
      <c r="C354" s="17" t="inlineStr">
        <is>
          <t>AEO</t>
        </is>
      </c>
      <c r="D354" s="12" t="inlineStr">
        <is>
          <t>Claude: manager questions</t>
        </is>
      </c>
      <c r="E354" s="12" t="inlineStr">
        <is>
          <t>Privacy &amp; Self-hosted</t>
        </is>
      </c>
      <c r="F354" s="13" t="n"/>
      <c r="G354" s="13" t="n"/>
      <c r="H354" s="14" t="n"/>
      <c r="I354" s="12" t="inlineStr">
        <is>
          <t>Informational</t>
        </is>
      </c>
      <c r="J354" s="15" t="n">
        <v>2</v>
      </c>
      <c r="K354" s="16">
        <f>IF(I354="","",IF(I354="Transactional",3,IF(I354="Commercial",2,1)))</f>
        <v/>
      </c>
      <c r="L354" s="16">
        <f>IF(G354="","",IF(G354&lt;=20,3,IF(G354&lt;=50,2,1)))</f>
        <v/>
      </c>
      <c r="M354" s="16">
        <f>IF(OR(J354="",K354="",L354=""),"",J354+K354+L354)</f>
        <v/>
      </c>
      <c r="N354" s="11" t="inlineStr">
        <is>
          <t>FAQ</t>
        </is>
      </c>
      <c r="O354" s="12" t="inlineStr">
        <is>
          <t>/blog/tracking-ai-usage-ethically</t>
        </is>
      </c>
      <c r="P354" s="12" t="inlineStr">
        <is>
          <t>Blog</t>
        </is>
      </c>
      <c r="Q354" s="14" t="n"/>
      <c r="R354" s="14" t="n"/>
      <c r="S354" s="14" t="n"/>
      <c r="T354" s="12" t="inlineStr">
        <is>
          <t>Not started</t>
        </is>
      </c>
      <c r="U354" s="12" t="inlineStr">
        <is>
          <t>AI-generated idea: confirm real demand (Google, Reddit) before writing a page for it</t>
        </is>
      </c>
    </row>
    <row r="355">
      <c r="A355" s="11" t="n">
        <v>354</v>
      </c>
      <c r="B355" s="12" t="inlineStr">
        <is>
          <t>How do I explain AI usage tracking to my team?</t>
        </is>
      </c>
      <c r="C355" s="17" t="inlineStr">
        <is>
          <t>AEO</t>
        </is>
      </c>
      <c r="D355" s="12" t="inlineStr">
        <is>
          <t>Claude: manager questions</t>
        </is>
      </c>
      <c r="E355" s="12" t="inlineStr">
        <is>
          <t>Privacy &amp; Self-hosted</t>
        </is>
      </c>
      <c r="F355" s="13" t="n"/>
      <c r="G355" s="13" t="n"/>
      <c r="H355" s="14" t="n"/>
      <c r="I355" s="12" t="inlineStr">
        <is>
          <t>Informational</t>
        </is>
      </c>
      <c r="J355" s="15" t="n">
        <v>2</v>
      </c>
      <c r="K355" s="16">
        <f>IF(I355="","",IF(I355="Transactional",3,IF(I355="Commercial",2,1)))</f>
        <v/>
      </c>
      <c r="L355" s="16">
        <f>IF(G355="","",IF(G355&lt;=20,3,IF(G355&lt;=50,2,1)))</f>
        <v/>
      </c>
      <c r="M355" s="16">
        <f>IF(OR(J355="",K355="",L355=""),"",J355+K355+L355)</f>
        <v/>
      </c>
      <c r="N355" s="11" t="inlineStr">
        <is>
          <t>FAQ</t>
        </is>
      </c>
      <c r="O355" s="12" t="inlineStr">
        <is>
          <t>/blog/tracking-ai-usage-ethically</t>
        </is>
      </c>
      <c r="P355" s="12" t="inlineStr">
        <is>
          <t>Blog</t>
        </is>
      </c>
      <c r="Q355" s="14" t="n"/>
      <c r="R355" s="14" t="n"/>
      <c r="S355" s="14" t="n"/>
      <c r="T355" s="12" t="inlineStr">
        <is>
          <t>Not started</t>
        </is>
      </c>
      <c r="U355" s="12" t="inlineStr">
        <is>
          <t>AI-generated idea: confirm real demand (Google, Reddit) before writing a page for it</t>
        </is>
      </c>
    </row>
    <row r="356">
      <c r="A356" s="11" t="n">
        <v>355</v>
      </c>
      <c r="B356" s="12" t="inlineStr">
        <is>
          <t>How do I spot developers who are stuck in long AI sessions?</t>
        </is>
      </c>
      <c r="C356" s="17" t="inlineStr">
        <is>
          <t>AEO</t>
        </is>
      </c>
      <c r="D356" s="12" t="inlineStr">
        <is>
          <t>Claude: manager questions</t>
        </is>
      </c>
      <c r="E356" s="12" t="inlineStr">
        <is>
          <t>Engineering Intelligence</t>
        </is>
      </c>
      <c r="F356" s="13" t="n"/>
      <c r="G356" s="13" t="n"/>
      <c r="H356" s="14" t="n"/>
      <c r="I356" s="12" t="inlineStr">
        <is>
          <t>Commercial</t>
        </is>
      </c>
      <c r="J356" s="15" t="n">
        <v>3</v>
      </c>
      <c r="K356" s="16">
        <f>IF(I356="","",IF(I356="Transactional",3,IF(I356="Commercial",2,1)))</f>
        <v/>
      </c>
      <c r="L356" s="16">
        <f>IF(G356="","",IF(G356&lt;=20,3,IF(G356&lt;=50,2,1)))</f>
        <v/>
      </c>
      <c r="M356" s="16">
        <f>IF(OR(J356="",K356="",L356=""),"",J356+K356+L356)</f>
        <v/>
      </c>
      <c r="N356" s="11" t="inlineStr">
        <is>
          <t>FAQ</t>
        </is>
      </c>
      <c r="O356" s="12" t="inlineStr">
        <is>
          <t>/engineering-intelligence</t>
        </is>
      </c>
      <c r="P356" s="12" t="inlineStr">
        <is>
          <t>Solution</t>
        </is>
      </c>
      <c r="Q356" s="14" t="n"/>
      <c r="R356" s="14" t="n"/>
      <c r="S356" s="14" t="n"/>
      <c r="T356" s="12" t="inlineStr">
        <is>
          <t>Not started</t>
        </is>
      </c>
      <c r="U356" s="12" t="inlineStr">
        <is>
          <t>AI-generated idea: confirm real demand (Google, Reddit) before writing a page for it</t>
        </is>
      </c>
    </row>
    <row r="357">
      <c r="A357" s="11" t="n">
        <v>356</v>
      </c>
      <c r="B357" s="12" t="inlineStr">
        <is>
          <t>How do I see what my team is working on without status meetings?</t>
        </is>
      </c>
      <c r="C357" s="17" t="inlineStr">
        <is>
          <t>AEO</t>
        </is>
      </c>
      <c r="D357" s="12" t="inlineStr">
        <is>
          <t>Claude: manager questions</t>
        </is>
      </c>
      <c r="E357" s="12" t="inlineStr">
        <is>
          <t>Engineering Intelligence</t>
        </is>
      </c>
      <c r="F357" s="13" t="n"/>
      <c r="G357" s="13" t="n"/>
      <c r="H357" s="14" t="n"/>
      <c r="I357" s="12" t="inlineStr">
        <is>
          <t>Commercial</t>
        </is>
      </c>
      <c r="J357" s="15" t="n">
        <v>3</v>
      </c>
      <c r="K357" s="16">
        <f>IF(I357="","",IF(I357="Transactional",3,IF(I357="Commercial",2,1)))</f>
        <v/>
      </c>
      <c r="L357" s="16">
        <f>IF(G357="","",IF(G357&lt;=20,3,IF(G357&lt;=50,2,1)))</f>
        <v/>
      </c>
      <c r="M357" s="16">
        <f>IF(OR(J357="",K357="",L357=""),"",J357+K357+L357)</f>
        <v/>
      </c>
      <c r="N357" s="11" t="inlineStr">
        <is>
          <t>FAQ</t>
        </is>
      </c>
      <c r="O357" s="12" t="inlineStr">
        <is>
          <t>/engineering-intelligence</t>
        </is>
      </c>
      <c r="P357" s="12" t="inlineStr">
        <is>
          <t>Solution</t>
        </is>
      </c>
      <c r="Q357" s="14" t="n"/>
      <c r="R357" s="14" t="n"/>
      <c r="S357" s="14" t="n"/>
      <c r="T357" s="12" t="inlineStr">
        <is>
          <t>Not started</t>
        </is>
      </c>
      <c r="U357" s="12" t="inlineStr">
        <is>
          <t>AI-generated idea: confirm real demand (Google, Reddit) before writing a page for it</t>
        </is>
      </c>
    </row>
    <row r="358">
      <c r="A358" s="11" t="n">
        <v>357</v>
      </c>
      <c r="B358" s="12" t="inlineStr">
        <is>
          <t>How can I see team activity in real time?</t>
        </is>
      </c>
      <c r="C358" s="17" t="inlineStr">
        <is>
          <t>AEO</t>
        </is>
      </c>
      <c r="D358" s="12" t="inlineStr">
        <is>
          <t>Claude: manager questions</t>
        </is>
      </c>
      <c r="E358" s="12" t="inlineStr">
        <is>
          <t>Engineering Intelligence</t>
        </is>
      </c>
      <c r="F358" s="13" t="n"/>
      <c r="G358" s="13" t="n"/>
      <c r="H358" s="14" t="n"/>
      <c r="I358" s="12" t="inlineStr">
        <is>
          <t>Commercial</t>
        </is>
      </c>
      <c r="J358" s="15" t="n">
        <v>3</v>
      </c>
      <c r="K358" s="16">
        <f>IF(I358="","",IF(I358="Transactional",3,IF(I358="Commercial",2,1)))</f>
        <v/>
      </c>
      <c r="L358" s="16">
        <f>IF(G358="","",IF(G358&lt;=20,3,IF(G358&lt;=50,2,1)))</f>
        <v/>
      </c>
      <c r="M358" s="16">
        <f>IF(OR(J358="",K358="",L358=""),"",J358+K358+L358)</f>
        <v/>
      </c>
      <c r="N358" s="11" t="inlineStr">
        <is>
          <t>FAQ</t>
        </is>
      </c>
      <c r="O358" s="12" t="inlineStr">
        <is>
          <t>/engineering-intelligence</t>
        </is>
      </c>
      <c r="P358" s="12" t="inlineStr">
        <is>
          <t>Solution</t>
        </is>
      </c>
      <c r="Q358" s="14" t="n"/>
      <c r="R358" s="14" t="n"/>
      <c r="S358" s="14" t="n"/>
      <c r="T358" s="12" t="inlineStr">
        <is>
          <t>Not started</t>
        </is>
      </c>
      <c r="U358" s="12" t="inlineStr">
        <is>
          <t>AI-generated idea: confirm real demand (Google, Reddit) before writing a page for it</t>
        </is>
      </c>
    </row>
    <row r="359">
      <c r="A359" s="11" t="n">
        <v>358</v>
      </c>
      <c r="B359" s="12" t="inlineStr">
        <is>
          <t>How do I identify developers who need support or coaching with AI tools?</t>
        </is>
      </c>
      <c r="C359" s="17" t="inlineStr">
        <is>
          <t>AEO</t>
        </is>
      </c>
      <c r="D359" s="12" t="inlineStr">
        <is>
          <t>Claude: manager questions</t>
        </is>
      </c>
      <c r="E359" s="12" t="inlineStr">
        <is>
          <t>Engineering Intelligence</t>
        </is>
      </c>
      <c r="F359" s="13" t="n"/>
      <c r="G359" s="13" t="n"/>
      <c r="H359" s="14" t="n"/>
      <c r="I359" s="12" t="inlineStr">
        <is>
          <t>Commercial</t>
        </is>
      </c>
      <c r="J359" s="15" t="n">
        <v>3</v>
      </c>
      <c r="K359" s="16">
        <f>IF(I359="","",IF(I359="Transactional",3,IF(I359="Commercial",2,1)))</f>
        <v/>
      </c>
      <c r="L359" s="16">
        <f>IF(G359="","",IF(G359&lt;=20,3,IF(G359&lt;=50,2,1)))</f>
        <v/>
      </c>
      <c r="M359" s="16">
        <f>IF(OR(J359="",K359="",L359=""),"",J359+K359+L359)</f>
        <v/>
      </c>
      <c r="N359" s="11" t="inlineStr">
        <is>
          <t>FAQ</t>
        </is>
      </c>
      <c r="O359" s="12" t="inlineStr">
        <is>
          <t>/engineering-intelligence</t>
        </is>
      </c>
      <c r="P359" s="12" t="inlineStr">
        <is>
          <t>Solution</t>
        </is>
      </c>
      <c r="Q359" s="14" t="n"/>
      <c r="R359" s="14" t="n"/>
      <c r="S359" s="14" t="n"/>
      <c r="T359" s="12" t="inlineStr">
        <is>
          <t>Not started</t>
        </is>
      </c>
      <c r="U359" s="12" t="inlineStr">
        <is>
          <t>AI-generated idea: confirm real demand (Google, Reddit) before writing a page for it</t>
        </is>
      </c>
    </row>
    <row r="360">
      <c r="A360" s="11" t="n">
        <v>359</v>
      </c>
      <c r="B360" s="12" t="inlineStr">
        <is>
          <t>How do I account for leave and on-call when measuring AI usage?</t>
        </is>
      </c>
      <c r="C360" s="17" t="inlineStr">
        <is>
          <t>AEO</t>
        </is>
      </c>
      <c r="D360" s="12" t="inlineStr">
        <is>
          <t>Claude: manager questions</t>
        </is>
      </c>
      <c r="E360" s="12" t="inlineStr">
        <is>
          <t>Engineering Intelligence</t>
        </is>
      </c>
      <c r="F360" s="13" t="n"/>
      <c r="G360" s="13" t="n"/>
      <c r="H360" s="14" t="n"/>
      <c r="I360" s="12" t="inlineStr">
        <is>
          <t>Commercial</t>
        </is>
      </c>
      <c r="J360" s="15" t="n">
        <v>3</v>
      </c>
      <c r="K360" s="16">
        <f>IF(I360="","",IF(I360="Transactional",3,IF(I360="Commercial",2,1)))</f>
        <v/>
      </c>
      <c r="L360" s="16">
        <f>IF(G360="","",IF(G360&lt;=20,3,IF(G360&lt;=50,2,1)))</f>
        <v/>
      </c>
      <c r="M360" s="16">
        <f>IF(OR(J360="",K360="",L360=""),"",J360+K360+L360)</f>
        <v/>
      </c>
      <c r="N360" s="11" t="inlineStr">
        <is>
          <t>FAQ</t>
        </is>
      </c>
      <c r="O360" s="12" t="inlineStr">
        <is>
          <t>/engineering-intelligence</t>
        </is>
      </c>
      <c r="P360" s="12" t="inlineStr">
        <is>
          <t>Solution</t>
        </is>
      </c>
      <c r="Q360" s="14" t="n"/>
      <c r="R360" s="14" t="n"/>
      <c r="S360" s="14" t="n"/>
      <c r="T360" s="12" t="inlineStr">
        <is>
          <t>Not started</t>
        </is>
      </c>
      <c r="U360" s="12" t="inlineStr">
        <is>
          <t>AI-generated idea: confirm real demand (Google, Reddit) before writing a page for it</t>
        </is>
      </c>
    </row>
    <row r="361">
      <c r="A361" s="11" t="n">
        <v>360</v>
      </c>
      <c r="B361" s="12" t="inlineStr">
        <is>
          <t>Are commits and pull requests still good productivity metrics with AI?</t>
        </is>
      </c>
      <c r="C361" s="17" t="inlineStr">
        <is>
          <t>AEO</t>
        </is>
      </c>
      <c r="D361" s="12" t="inlineStr">
        <is>
          <t>Claude: manager questions</t>
        </is>
      </c>
      <c r="E361" s="12" t="inlineStr">
        <is>
          <t>Engineering Intelligence</t>
        </is>
      </c>
      <c r="F361" s="13" t="n"/>
      <c r="G361" s="13" t="n"/>
      <c r="H361" s="14" t="n"/>
      <c r="I361" s="12" t="inlineStr">
        <is>
          <t>Informational</t>
        </is>
      </c>
      <c r="J361" s="15" t="n">
        <v>2</v>
      </c>
      <c r="K361" s="16">
        <f>IF(I361="","",IF(I361="Transactional",3,IF(I361="Commercial",2,1)))</f>
        <v/>
      </c>
      <c r="L361" s="16">
        <f>IF(G361="","",IF(G361&lt;=20,3,IF(G361&lt;=50,2,1)))</f>
        <v/>
      </c>
      <c r="M361" s="16">
        <f>IF(OR(J361="",K361="",L361=""),"",J361+K361+L361)</f>
        <v/>
      </c>
      <c r="N361" s="11" t="inlineStr">
        <is>
          <t>FAQ</t>
        </is>
      </c>
      <c r="O361" s="12" t="inlineStr">
        <is>
          <t>/blog/measure-developer-productivity-ai</t>
        </is>
      </c>
      <c r="P361" s="12" t="inlineStr">
        <is>
          <t>Interactive guide</t>
        </is>
      </c>
      <c r="Q361" s="14" t="n"/>
      <c r="R361" s="14" t="n"/>
      <c r="S361" s="14" t="n"/>
      <c r="T361" s="12" t="inlineStr">
        <is>
          <t>Not started</t>
        </is>
      </c>
      <c r="U361" s="12" t="inlineStr">
        <is>
          <t>AI-generated idea: confirm real demand (Google, Reddit) before writing a page for it</t>
        </is>
      </c>
    </row>
    <row r="362">
      <c r="A362" s="11" t="n">
        <v>361</v>
      </c>
      <c r="B362" s="12" t="inlineStr">
        <is>
          <t>How do I measure developer productivity when AI writes most of the code?</t>
        </is>
      </c>
      <c r="C362" s="17" t="inlineStr">
        <is>
          <t>AEO</t>
        </is>
      </c>
      <c r="D362" s="12" t="inlineStr">
        <is>
          <t>Claude: manager questions</t>
        </is>
      </c>
      <c r="E362" s="12" t="inlineStr">
        <is>
          <t>Engineering Intelligence</t>
        </is>
      </c>
      <c r="F362" s="13" t="n"/>
      <c r="G362" s="13" t="n"/>
      <c r="H362" s="14" t="n"/>
      <c r="I362" s="12" t="inlineStr">
        <is>
          <t>Informational</t>
        </is>
      </c>
      <c r="J362" s="15" t="n">
        <v>2</v>
      </c>
      <c r="K362" s="16">
        <f>IF(I362="","",IF(I362="Transactional",3,IF(I362="Commercial",2,1)))</f>
        <v/>
      </c>
      <c r="L362" s="16">
        <f>IF(G362="","",IF(G362&lt;=20,3,IF(G362&lt;=50,2,1)))</f>
        <v/>
      </c>
      <c r="M362" s="16">
        <f>IF(OR(J362="",K362="",L362=""),"",J362+K362+L362)</f>
        <v/>
      </c>
      <c r="N362" s="11" t="inlineStr">
        <is>
          <t>FAQ</t>
        </is>
      </c>
      <c r="O362" s="12" t="inlineStr">
        <is>
          <t>/blog/measure-developer-productivity-ai</t>
        </is>
      </c>
      <c r="P362" s="12" t="inlineStr">
        <is>
          <t>Interactive guide</t>
        </is>
      </c>
      <c r="Q362" s="14" t="n"/>
      <c r="R362" s="14" t="n"/>
      <c r="S362" s="14" t="n"/>
      <c r="T362" s="12" t="inlineStr">
        <is>
          <t>Not started</t>
        </is>
      </c>
      <c r="U362" s="12" t="inlineStr">
        <is>
          <t>AI-generated idea: confirm real demand (Google, Reddit) before writing a page for it</t>
        </is>
      </c>
    </row>
    <row r="363">
      <c r="A363" s="11" t="n">
        <v>362</v>
      </c>
      <c r="B363" s="12" t="inlineStr">
        <is>
          <t>How do I benchmark my team's AI adoption against other teams?</t>
        </is>
      </c>
      <c r="C363" s="17" t="inlineStr">
        <is>
          <t>AEO</t>
        </is>
      </c>
      <c r="D363" s="12" t="inlineStr">
        <is>
          <t>Claude: manager questions</t>
        </is>
      </c>
      <c r="E363" s="12" t="inlineStr">
        <is>
          <t>Engineering Intelligence</t>
        </is>
      </c>
      <c r="F363" s="13" t="n"/>
      <c r="G363" s="13" t="n"/>
      <c r="H363" s="14" t="n"/>
      <c r="I363" s="12" t="inlineStr">
        <is>
          <t>Informational</t>
        </is>
      </c>
      <c r="J363" s="15" t="n">
        <v>2</v>
      </c>
      <c r="K363" s="16">
        <f>IF(I363="","",IF(I363="Transactional",3,IF(I363="Commercial",2,1)))</f>
        <v/>
      </c>
      <c r="L363" s="16">
        <f>IF(G363="","",IF(G363&lt;=20,3,IF(G363&lt;=50,2,1)))</f>
        <v/>
      </c>
      <c r="M363" s="16">
        <f>IF(OR(J363="",K363="",L363=""),"",J363+K363+L363)</f>
        <v/>
      </c>
      <c r="N363" s="11" t="inlineStr">
        <is>
          <t>FAQ</t>
        </is>
      </c>
      <c r="O363" s="12" t="inlineStr">
        <is>
          <t>/blog/measure-developer-productivity-ai</t>
        </is>
      </c>
      <c r="P363" s="12" t="inlineStr">
        <is>
          <t>Interactive guide</t>
        </is>
      </c>
      <c r="Q363" s="14" t="n"/>
      <c r="R363" s="14" t="n"/>
      <c r="S363" s="14" t="n"/>
      <c r="T363" s="12" t="inlineStr">
        <is>
          <t>Not started</t>
        </is>
      </c>
      <c r="U363" s="12" t="inlineStr">
        <is>
          <t>AI-generated idea: confirm real demand (Google, Reddit) before writing a page for it</t>
        </is>
      </c>
    </row>
    <row r="364">
      <c r="A364" s="11" t="n">
        <v>363</v>
      </c>
      <c r="B364" s="12" t="inlineStr">
        <is>
          <t>How do I know when AI is retrying the same failed fix repeatedly?</t>
        </is>
      </c>
      <c r="C364" s="17" t="inlineStr">
        <is>
          <t>AEO</t>
        </is>
      </c>
      <c r="D364" s="12" t="inlineStr">
        <is>
          <t>Claude: manager questions</t>
        </is>
      </c>
      <c r="E364" s="12" t="inlineStr">
        <is>
          <t>Team &amp; Projects</t>
        </is>
      </c>
      <c r="F364" s="13" t="n"/>
      <c r="G364" s="13" t="n"/>
      <c r="H364" s="14" t="n"/>
      <c r="I364" s="12" t="inlineStr">
        <is>
          <t>Informational</t>
        </is>
      </c>
      <c r="J364" s="15" t="n">
        <v>3</v>
      </c>
      <c r="K364" s="16">
        <f>IF(I364="","",IF(I364="Transactional",3,IF(I364="Commercial",2,1)))</f>
        <v/>
      </c>
      <c r="L364" s="16">
        <f>IF(G364="","",IF(G364&lt;=20,3,IF(G364&lt;=50,2,1)))</f>
        <v/>
      </c>
      <c r="M364" s="16">
        <f>IF(OR(J364="",K364="",L364=""),"",J364+K364+L364)</f>
        <v/>
      </c>
      <c r="N364" s="11" t="inlineStr">
        <is>
          <t>FAQ</t>
        </is>
      </c>
      <c r="O364" s="12" t="inlineStr">
        <is>
          <t>/blog/ai-retry-loops</t>
        </is>
      </c>
      <c r="P364" s="12" t="inlineStr">
        <is>
          <t>Blog</t>
        </is>
      </c>
      <c r="Q364" s="14" t="n"/>
      <c r="R364" s="14" t="n"/>
      <c r="S364" s="14" t="n"/>
      <c r="T364" s="12" t="inlineStr">
        <is>
          <t>Not started</t>
        </is>
      </c>
      <c r="U364" s="12" t="inlineStr">
        <is>
          <t>AI-generated idea: confirm real demand (Google, Reddit) before writing a page for it</t>
        </is>
      </c>
    </row>
    <row r="365">
      <c r="A365" s="11" t="n">
        <v>364</v>
      </c>
      <c r="B365" s="12" t="inlineStr">
        <is>
          <t>How do I share AI best practices across my team?</t>
        </is>
      </c>
      <c r="C365" s="17" t="inlineStr">
        <is>
          <t>AEO</t>
        </is>
      </c>
      <c r="D365" s="12" t="inlineStr">
        <is>
          <t>Claude: manager questions</t>
        </is>
      </c>
      <c r="E365" s="12" t="inlineStr">
        <is>
          <t>Knowledge</t>
        </is>
      </c>
      <c r="F365" s="13" t="n"/>
      <c r="G365" s="13" t="n"/>
      <c r="H365" s="14" t="n"/>
      <c r="I365" s="12" t="inlineStr">
        <is>
          <t>Informational</t>
        </is>
      </c>
      <c r="J365" s="15" t="n">
        <v>2</v>
      </c>
      <c r="K365" s="16">
        <f>IF(I365="","",IF(I365="Transactional",3,IF(I365="Commercial",2,1)))</f>
        <v/>
      </c>
      <c r="L365" s="16">
        <f>IF(G365="","",IF(G365&lt;=20,3,IF(G365&lt;=50,2,1)))</f>
        <v/>
      </c>
      <c r="M365" s="16">
        <f>IF(OR(J365="",K365="",L365=""),"",J365+K365+L365)</f>
        <v/>
      </c>
      <c r="N365" s="11" t="inlineStr">
        <is>
          <t>FAQ</t>
        </is>
      </c>
      <c r="O365" s="12" t="inlineStr">
        <is>
          <t>/blog/institutional-knowledge</t>
        </is>
      </c>
      <c r="P365" s="12" t="inlineStr">
        <is>
          <t>Blog</t>
        </is>
      </c>
      <c r="Q365" s="14" t="n"/>
      <c r="R365" s="14" t="n"/>
      <c r="S365" s="14" t="n"/>
      <c r="T365" s="12" t="inlineStr">
        <is>
          <t>Not started</t>
        </is>
      </c>
      <c r="U365" s="12" t="inlineStr">
        <is>
          <t>AI-generated idea: confirm real demand (Google, Reddit) before writing a page for it</t>
        </is>
      </c>
    </row>
    <row r="366">
      <c r="A366" s="11" t="n">
        <v>365</v>
      </c>
      <c r="B366" s="12" t="inlineStr">
        <is>
          <t>How can I capture knowledge from AI coding sessions?</t>
        </is>
      </c>
      <c r="C366" s="17" t="inlineStr">
        <is>
          <t>AEO</t>
        </is>
      </c>
      <c r="D366" s="12" t="inlineStr">
        <is>
          <t>Claude: manager questions</t>
        </is>
      </c>
      <c r="E366" s="12" t="inlineStr">
        <is>
          <t>Knowledge</t>
        </is>
      </c>
      <c r="F366" s="13" t="n"/>
      <c r="G366" s="13" t="n"/>
      <c r="H366" s="14" t="n"/>
      <c r="I366" s="12" t="inlineStr">
        <is>
          <t>Informational</t>
        </is>
      </c>
      <c r="J366" s="15" t="n">
        <v>2</v>
      </c>
      <c r="K366" s="16">
        <f>IF(I366="","",IF(I366="Transactional",3,IF(I366="Commercial",2,1)))</f>
        <v/>
      </c>
      <c r="L366" s="16">
        <f>IF(G366="","",IF(G366&lt;=20,3,IF(G366&lt;=50,2,1)))</f>
        <v/>
      </c>
      <c r="M366" s="16">
        <f>IF(OR(J366="",K366="",L366=""),"",J366+K366+L366)</f>
        <v/>
      </c>
      <c r="N366" s="11" t="inlineStr">
        <is>
          <t>FAQ</t>
        </is>
      </c>
      <c r="O366" s="12" t="inlineStr">
        <is>
          <t>/blog/institutional-knowledge</t>
        </is>
      </c>
      <c r="P366" s="12" t="inlineStr">
        <is>
          <t>Blog</t>
        </is>
      </c>
      <c r="Q366" s="14" t="n"/>
      <c r="R366" s="14" t="n"/>
      <c r="S366" s="14" t="n"/>
      <c r="T366" s="12" t="inlineStr">
        <is>
          <t>Not started</t>
        </is>
      </c>
      <c r="U366" s="12" t="inlineStr">
        <is>
          <t>AI-generated idea: confirm real demand (Google, Reddit) before writing a page for it</t>
        </is>
      </c>
    </row>
    <row r="367">
      <c r="A367" s="11" t="n">
        <v>366</v>
      </c>
      <c r="B367" s="12" t="inlineStr">
        <is>
          <t>How do I create a weekly AI usage report for my team?</t>
        </is>
      </c>
      <c r="C367" s="17" t="inlineStr">
        <is>
          <t>AEO</t>
        </is>
      </c>
      <c r="D367" s="12" t="inlineStr">
        <is>
          <t>Claude: manager questions</t>
        </is>
      </c>
      <c r="E367" s="12" t="inlineStr">
        <is>
          <t>Team &amp; Projects</t>
        </is>
      </c>
      <c r="F367" s="13" t="n"/>
      <c r="G367" s="13" t="n"/>
      <c r="H367" s="14" t="n"/>
      <c r="I367" s="12" t="inlineStr">
        <is>
          <t>Commercial</t>
        </is>
      </c>
      <c r="J367" s="15" t="n">
        <v>2</v>
      </c>
      <c r="K367" s="16">
        <f>IF(I367="","",IF(I367="Transactional",3,IF(I367="Commercial",2,1)))</f>
        <v/>
      </c>
      <c r="L367" s="16">
        <f>IF(G367="","",IF(G367&lt;=20,3,IF(G367&lt;=50,2,1)))</f>
        <v/>
      </c>
      <c r="M367" s="16">
        <f>IF(OR(J367="",K367="",L367=""),"",J367+K367+L367)</f>
        <v/>
      </c>
      <c r="N367" s="11" t="inlineStr">
        <is>
          <t>FAQ</t>
        </is>
      </c>
      <c r="O367" s="12" t="inlineStr">
        <is>
          <t>/features</t>
        </is>
      </c>
      <c r="P367" s="12" t="inlineStr">
        <is>
          <t>Feature</t>
        </is>
      </c>
      <c r="Q367" s="14" t="n"/>
      <c r="R367" s="14" t="n"/>
      <c r="S367" s="14" t="n"/>
      <c r="T367" s="12" t="inlineStr">
        <is>
          <t>Not started</t>
        </is>
      </c>
      <c r="U367" s="12" t="inlineStr">
        <is>
          <t>AI-generated idea: confirm real demand (Google, Reddit) before writing a page for it</t>
        </is>
      </c>
    </row>
    <row r="368">
      <c r="A368" s="11" t="n">
        <v>367</v>
      </c>
      <c r="B368" s="12" t="inlineStr">
        <is>
          <t>Can I let an AI assistant summarise my team's engineering activity?</t>
        </is>
      </c>
      <c r="C368" s="17" t="inlineStr">
        <is>
          <t>AEO</t>
        </is>
      </c>
      <c r="D368" s="12" t="inlineStr">
        <is>
          <t>Claude: manager questions</t>
        </is>
      </c>
      <c r="E368" s="12" t="inlineStr">
        <is>
          <t>AI Agents &amp; MCP</t>
        </is>
      </c>
      <c r="F368" s="13" t="n"/>
      <c r="G368" s="13" t="n"/>
      <c r="H368" s="14" t="n"/>
      <c r="I368" s="12" t="inlineStr">
        <is>
          <t>Informational</t>
        </is>
      </c>
      <c r="J368" s="15" t="n">
        <v>3</v>
      </c>
      <c r="K368" s="16">
        <f>IF(I368="","",IF(I368="Transactional",3,IF(I368="Commercial",2,1)))</f>
        <v/>
      </c>
      <c r="L368" s="16">
        <f>IF(G368="","",IF(G368&lt;=20,3,IF(G368&lt;=50,2,1)))</f>
        <v/>
      </c>
      <c r="M368" s="16">
        <f>IF(OR(J368="",K368="",L368=""),"",J368+K368+L368)</f>
        <v/>
      </c>
      <c r="N368" s="11" t="inlineStr">
        <is>
          <t>FAQ</t>
        </is>
      </c>
      <c r="O368" s="12" t="inlineStr">
        <is>
          <t>/blog/ai-weekly-team-report</t>
        </is>
      </c>
      <c r="P368" s="12" t="inlineStr">
        <is>
          <t>Blog</t>
        </is>
      </c>
      <c r="Q368" s="14" t="n"/>
      <c r="R368" s="14" t="n"/>
      <c r="S368" s="14" t="n"/>
      <c r="T368" s="12" t="inlineStr">
        <is>
          <t>Not started</t>
        </is>
      </c>
      <c r="U368" s="12" t="inlineStr">
        <is>
          <t>AI-generated idea: confirm real demand (Google, Reddit) before writing a page for it</t>
        </is>
      </c>
    </row>
    <row r="369">
      <c r="A369" s="11" t="n">
        <v>368</v>
      </c>
      <c r="B369" s="12" t="inlineStr">
        <is>
          <t>Does an AI coding analytics tool read or store our source code?</t>
        </is>
      </c>
      <c r="C369" s="17" t="inlineStr">
        <is>
          <t>AEO</t>
        </is>
      </c>
      <c r="D369" s="12" t="inlineStr">
        <is>
          <t>Claude: CTO buying questions</t>
        </is>
      </c>
      <c r="E369" s="12" t="inlineStr">
        <is>
          <t>Privacy &amp; Self-hosted</t>
        </is>
      </c>
      <c r="F369" s="13" t="n"/>
      <c r="G369" s="13" t="n"/>
      <c r="H369" s="14" t="n"/>
      <c r="I369" s="12" t="inlineStr">
        <is>
          <t>Commercial</t>
        </is>
      </c>
      <c r="J369" s="15" t="n">
        <v>3</v>
      </c>
      <c r="K369" s="16">
        <f>IF(I369="","",IF(I369="Transactional",3,IF(I369="Commercial",2,1)))</f>
        <v/>
      </c>
      <c r="L369" s="16">
        <f>IF(G369="","",IF(G369&lt;=20,3,IF(G369&lt;=50,2,1)))</f>
        <v/>
      </c>
      <c r="M369" s="16">
        <f>IF(OR(J369="",K369="",L369=""),"",J369+K369+L369)</f>
        <v/>
      </c>
      <c r="N369" s="11" t="inlineStr">
        <is>
          <t>FAQ</t>
        </is>
      </c>
      <c r="O369" s="12" t="inlineStr">
        <is>
          <t>/privacy</t>
        </is>
      </c>
      <c r="P369" s="12" t="inlineStr">
        <is>
          <t>Trust</t>
        </is>
      </c>
      <c r="Q369" s="14" t="n"/>
      <c r="R369" s="14" t="n"/>
      <c r="S369" s="14" t="n"/>
      <c r="T369" s="12" t="inlineStr">
        <is>
          <t>Not started</t>
        </is>
      </c>
      <c r="U369" s="12" t="inlineStr">
        <is>
          <t>AI-generated idea: confirm real demand (Google, Reddit) before writing a page for it</t>
        </is>
      </c>
    </row>
    <row r="370">
      <c r="A370" s="11" t="n">
        <v>369</v>
      </c>
      <c r="B370" s="12" t="inlineStr">
        <is>
          <t>Where is AI coding usage data stored and who can access it?</t>
        </is>
      </c>
      <c r="C370" s="17" t="inlineStr">
        <is>
          <t>AEO</t>
        </is>
      </c>
      <c r="D370" s="12" t="inlineStr">
        <is>
          <t>Claude: CTO buying questions</t>
        </is>
      </c>
      <c r="E370" s="12" t="inlineStr">
        <is>
          <t>Privacy &amp; Self-hosted</t>
        </is>
      </c>
      <c r="F370" s="13" t="n"/>
      <c r="G370" s="13" t="n"/>
      <c r="H370" s="14" t="n"/>
      <c r="I370" s="12" t="inlineStr">
        <is>
          <t>Commercial</t>
        </is>
      </c>
      <c r="J370" s="15" t="n">
        <v>3</v>
      </c>
      <c r="K370" s="16">
        <f>IF(I370="","",IF(I370="Transactional",3,IF(I370="Commercial",2,1)))</f>
        <v/>
      </c>
      <c r="L370" s="16">
        <f>IF(G370="","",IF(G370&lt;=20,3,IF(G370&lt;=50,2,1)))</f>
        <v/>
      </c>
      <c r="M370" s="16">
        <f>IF(OR(J370="",K370="",L370=""),"",J370+K370+L370)</f>
        <v/>
      </c>
      <c r="N370" s="11" t="inlineStr">
        <is>
          <t>FAQ</t>
        </is>
      </c>
      <c r="O370" s="12" t="inlineStr">
        <is>
          <t>/privacy</t>
        </is>
      </c>
      <c r="P370" s="12" t="inlineStr">
        <is>
          <t>Trust</t>
        </is>
      </c>
      <c r="Q370" s="14" t="n"/>
      <c r="R370" s="14" t="n"/>
      <c r="S370" s="14" t="n"/>
      <c r="T370" s="12" t="inlineStr">
        <is>
          <t>Not started</t>
        </is>
      </c>
      <c r="U370" s="12" t="inlineStr">
        <is>
          <t>AI-generated idea: confirm real demand (Google, Reddit) before writing a page for it</t>
        </is>
      </c>
    </row>
    <row r="371">
      <c r="A371" s="11" t="n">
        <v>370</v>
      </c>
      <c r="B371" s="12" t="inlineStr">
        <is>
          <t>How are secrets and credentials handled before upload?</t>
        </is>
      </c>
      <c r="C371" s="17" t="inlineStr">
        <is>
          <t>AEO</t>
        </is>
      </c>
      <c r="D371" s="12" t="inlineStr">
        <is>
          <t>Claude: CTO buying questions</t>
        </is>
      </c>
      <c r="E371" s="12" t="inlineStr">
        <is>
          <t>Privacy &amp; Self-hosted</t>
        </is>
      </c>
      <c r="F371" s="13" t="n"/>
      <c r="G371" s="13" t="n"/>
      <c r="H371" s="14" t="n"/>
      <c r="I371" s="12" t="inlineStr">
        <is>
          <t>Commercial</t>
        </is>
      </c>
      <c r="J371" s="15" t="n">
        <v>3</v>
      </c>
      <c r="K371" s="16">
        <f>IF(I371="","",IF(I371="Transactional",3,IF(I371="Commercial",2,1)))</f>
        <v/>
      </c>
      <c r="L371" s="16">
        <f>IF(G371="","",IF(G371&lt;=20,3,IF(G371&lt;=50,2,1)))</f>
        <v/>
      </c>
      <c r="M371" s="16">
        <f>IF(OR(J371="",K371="",L371=""),"",J371+K371+L371)</f>
        <v/>
      </c>
      <c r="N371" s="11" t="inlineStr">
        <is>
          <t>FAQ</t>
        </is>
      </c>
      <c r="O371" s="12" t="inlineStr">
        <is>
          <t>/privacy</t>
        </is>
      </c>
      <c r="P371" s="12" t="inlineStr">
        <is>
          <t>Trust</t>
        </is>
      </c>
      <c r="Q371" s="14" t="n"/>
      <c r="R371" s="14" t="n"/>
      <c r="S371" s="14" t="n"/>
      <c r="T371" s="12" t="inlineStr">
        <is>
          <t>Not started</t>
        </is>
      </c>
      <c r="U371" s="12" t="inlineStr">
        <is>
          <t>AI-generated idea: confirm real demand (Google, Reddit) before writing a page for it</t>
        </is>
      </c>
    </row>
    <row r="372">
      <c r="A372" s="11" t="n">
        <v>371</v>
      </c>
      <c r="B372" s="12" t="inlineStr">
        <is>
          <t>Can managers see developers' AI prompts?</t>
        </is>
      </c>
      <c r="C372" s="17" t="inlineStr">
        <is>
          <t>AEO</t>
        </is>
      </c>
      <c r="D372" s="12" t="inlineStr">
        <is>
          <t>Claude: CTO buying questions</t>
        </is>
      </c>
      <c r="E372" s="12" t="inlineStr">
        <is>
          <t>Privacy &amp; Self-hosted</t>
        </is>
      </c>
      <c r="F372" s="13" t="n"/>
      <c r="G372" s="13" t="n"/>
      <c r="H372" s="14" t="n"/>
      <c r="I372" s="12" t="inlineStr">
        <is>
          <t>Commercial</t>
        </is>
      </c>
      <c r="J372" s="15" t="n">
        <v>3</v>
      </c>
      <c r="K372" s="16">
        <f>IF(I372="","",IF(I372="Transactional",3,IF(I372="Commercial",2,1)))</f>
        <v/>
      </c>
      <c r="L372" s="16">
        <f>IF(G372="","",IF(G372&lt;=20,3,IF(G372&lt;=50,2,1)))</f>
        <v/>
      </c>
      <c r="M372" s="16">
        <f>IF(OR(J372="",K372="",L372=""),"",J372+K372+L372)</f>
        <v/>
      </c>
      <c r="N372" s="11" t="inlineStr">
        <is>
          <t>FAQ</t>
        </is>
      </c>
      <c r="O372" s="12" t="inlineStr">
        <is>
          <t>/privacy</t>
        </is>
      </c>
      <c r="P372" s="12" t="inlineStr">
        <is>
          <t>Trust</t>
        </is>
      </c>
      <c r="Q372" s="14" t="n"/>
      <c r="R372" s="14" t="n"/>
      <c r="S372" s="14" t="n"/>
      <c r="T372" s="12" t="inlineStr">
        <is>
          <t>Not started</t>
        </is>
      </c>
      <c r="U372" s="12" t="inlineStr">
        <is>
          <t>AI-generated idea: confirm real demand (Google, Reddit) before writing a page for it</t>
        </is>
      </c>
    </row>
    <row r="373">
      <c r="A373" s="11" t="n">
        <v>372</v>
      </c>
      <c r="B373" s="12" t="inlineStr">
        <is>
          <t>Will developers see AI usage tracking as surveillance?</t>
        </is>
      </c>
      <c r="C373" s="17" t="inlineStr">
        <is>
          <t>AEO</t>
        </is>
      </c>
      <c r="D373" s="12" t="inlineStr">
        <is>
          <t>Claude: CTO buying questions</t>
        </is>
      </c>
      <c r="E373" s="12" t="inlineStr">
        <is>
          <t>Privacy &amp; Self-hosted</t>
        </is>
      </c>
      <c r="F373" s="13" t="n"/>
      <c r="G373" s="13" t="n"/>
      <c r="H373" s="14" t="n"/>
      <c r="I373" s="12" t="inlineStr">
        <is>
          <t>Commercial</t>
        </is>
      </c>
      <c r="J373" s="15" t="n">
        <v>3</v>
      </c>
      <c r="K373" s="16">
        <f>IF(I373="","",IF(I373="Transactional",3,IF(I373="Commercial",2,1)))</f>
        <v/>
      </c>
      <c r="L373" s="16">
        <f>IF(G373="","",IF(G373&lt;=20,3,IF(G373&lt;=50,2,1)))</f>
        <v/>
      </c>
      <c r="M373" s="16">
        <f>IF(OR(J373="",K373="",L373=""),"",J373+K373+L373)</f>
        <v/>
      </c>
      <c r="N373" s="11" t="inlineStr">
        <is>
          <t>FAQ</t>
        </is>
      </c>
      <c r="O373" s="12" t="inlineStr">
        <is>
          <t>/privacy</t>
        </is>
      </c>
      <c r="P373" s="12" t="inlineStr">
        <is>
          <t>Trust</t>
        </is>
      </c>
      <c r="Q373" s="14" t="n"/>
      <c r="R373" s="14" t="n"/>
      <c r="S373" s="14" t="n"/>
      <c r="T373" s="12" t="inlineStr">
        <is>
          <t>Not started</t>
        </is>
      </c>
      <c r="U373" s="12" t="inlineStr">
        <is>
          <t>AI-generated idea: confirm real demand (Google, Reddit) before writing a page for it</t>
        </is>
      </c>
    </row>
    <row r="374">
      <c r="A374" s="11" t="n">
        <v>373</v>
      </c>
      <c r="B374" s="12" t="inlineStr">
        <is>
          <t>Is AI coding analytics GDPR compliant and can we erase a person's data?</t>
        </is>
      </c>
      <c r="C374" s="17" t="inlineStr">
        <is>
          <t>AEO</t>
        </is>
      </c>
      <c r="D374" s="12" t="inlineStr">
        <is>
          <t>Claude: CTO buying questions</t>
        </is>
      </c>
      <c r="E374" s="12" t="inlineStr">
        <is>
          <t>Privacy &amp; Self-hosted</t>
        </is>
      </c>
      <c r="F374" s="13" t="n"/>
      <c r="G374" s="13" t="n"/>
      <c r="H374" s="14" t="n"/>
      <c r="I374" s="12" t="inlineStr">
        <is>
          <t>Commercial</t>
        </is>
      </c>
      <c r="J374" s="15" t="n">
        <v>3</v>
      </c>
      <c r="K374" s="16">
        <f>IF(I374="","",IF(I374="Transactional",3,IF(I374="Commercial",2,1)))</f>
        <v/>
      </c>
      <c r="L374" s="16">
        <f>IF(G374="","",IF(G374&lt;=20,3,IF(G374&lt;=50,2,1)))</f>
        <v/>
      </c>
      <c r="M374" s="16">
        <f>IF(OR(J374="",K374="",L374=""),"",J374+K374+L374)</f>
        <v/>
      </c>
      <c r="N374" s="11" t="inlineStr">
        <is>
          <t>FAQ</t>
        </is>
      </c>
      <c r="O374" s="12" t="inlineStr">
        <is>
          <t>/privacy</t>
        </is>
      </c>
      <c r="P374" s="12" t="inlineStr">
        <is>
          <t>Trust</t>
        </is>
      </c>
      <c r="Q374" s="14" t="n"/>
      <c r="R374" s="14" t="n"/>
      <c r="S374" s="14" t="n"/>
      <c r="T374" s="12" t="inlineStr">
        <is>
          <t>Not started</t>
        </is>
      </c>
      <c r="U374" s="12" t="inlineStr">
        <is>
          <t>AI-generated idea: confirm real demand (Google, Reddit) before writing a page for it</t>
        </is>
      </c>
    </row>
    <row r="375">
      <c r="A375" s="11" t="n">
        <v>374</v>
      </c>
      <c r="B375" s="12" t="inlineStr">
        <is>
          <t>Can AI coding analytics be self-hosted on our own infrastructure?</t>
        </is>
      </c>
      <c r="C375" s="17" t="inlineStr">
        <is>
          <t>AEO</t>
        </is>
      </c>
      <c r="D375" s="12" t="inlineStr">
        <is>
          <t>Claude: CTO buying questions</t>
        </is>
      </c>
      <c r="E375" s="12" t="inlineStr">
        <is>
          <t>Privacy &amp; Self-hosted</t>
        </is>
      </c>
      <c r="F375" s="13" t="n"/>
      <c r="G375" s="13" t="n"/>
      <c r="H375" s="14" t="n"/>
      <c r="I375" s="12" t="inlineStr">
        <is>
          <t>Commercial</t>
        </is>
      </c>
      <c r="J375" s="15" t="n">
        <v>3</v>
      </c>
      <c r="K375" s="16">
        <f>IF(I375="","",IF(I375="Transactional",3,IF(I375="Commercial",2,1)))</f>
        <v/>
      </c>
      <c r="L375" s="16">
        <f>IF(G375="","",IF(G375&lt;=20,3,IF(G375&lt;=50,2,1)))</f>
        <v/>
      </c>
      <c r="M375" s="16">
        <f>IF(OR(J375="",K375="",L375=""),"",J375+K375+L375)</f>
        <v/>
      </c>
      <c r="N375" s="11" t="inlineStr">
        <is>
          <t>FAQ</t>
        </is>
      </c>
      <c r="O375" s="12" t="inlineStr">
        <is>
          <t>/self-hosted</t>
        </is>
      </c>
      <c r="P375" s="12" t="inlineStr">
        <is>
          <t>Trust</t>
        </is>
      </c>
      <c r="Q375" s="14" t="n"/>
      <c r="R375" s="14" t="n"/>
      <c r="S375" s="14" t="n"/>
      <c r="T375" s="12" t="inlineStr">
        <is>
          <t>Not started</t>
        </is>
      </c>
      <c r="U375" s="12" t="inlineStr">
        <is>
          <t>AI-generated idea: confirm real demand (Google, Reddit) before writing a page for it</t>
        </is>
      </c>
    </row>
    <row r="376">
      <c r="A376" s="11" t="n">
        <v>375</v>
      </c>
      <c r="B376" s="12" t="inlineStr">
        <is>
          <t>What infrastructure does a self-hosted AI coding analytics server need?</t>
        </is>
      </c>
      <c r="C376" s="17" t="inlineStr">
        <is>
          <t>AEO</t>
        </is>
      </c>
      <c r="D376" s="12" t="inlineStr">
        <is>
          <t>Claude: CTO buying questions</t>
        </is>
      </c>
      <c r="E376" s="12" t="inlineStr">
        <is>
          <t>Privacy &amp; Self-hosted</t>
        </is>
      </c>
      <c r="F376" s="13" t="n"/>
      <c r="G376" s="13" t="n"/>
      <c r="H376" s="14" t="n"/>
      <c r="I376" s="12" t="inlineStr">
        <is>
          <t>Commercial</t>
        </is>
      </c>
      <c r="J376" s="15" t="n">
        <v>3</v>
      </c>
      <c r="K376" s="16">
        <f>IF(I376="","",IF(I376="Transactional",3,IF(I376="Commercial",2,1)))</f>
        <v/>
      </c>
      <c r="L376" s="16">
        <f>IF(G376="","",IF(G376&lt;=20,3,IF(G376&lt;=50,2,1)))</f>
        <v/>
      </c>
      <c r="M376" s="16">
        <f>IF(OR(J376="",K376="",L376=""),"",J376+K376+L376)</f>
        <v/>
      </c>
      <c r="N376" s="11" t="inlineStr">
        <is>
          <t>FAQ</t>
        </is>
      </c>
      <c r="O376" s="12" t="inlineStr">
        <is>
          <t>/self-hosted</t>
        </is>
      </c>
      <c r="P376" s="12" t="inlineStr">
        <is>
          <t>Trust</t>
        </is>
      </c>
      <c r="Q376" s="14" t="n"/>
      <c r="R376" s="14" t="n"/>
      <c r="S376" s="14" t="n"/>
      <c r="T376" s="12" t="inlineStr">
        <is>
          <t>Not started</t>
        </is>
      </c>
      <c r="U376" s="12" t="inlineStr">
        <is>
          <t>AI-generated idea: confirm real demand (Google, Reddit) before writing a page for it</t>
        </is>
      </c>
    </row>
    <row r="377">
      <c r="A377" s="11" t="n">
        <v>376</v>
      </c>
      <c r="B377" s="12" t="inlineStr">
        <is>
          <t>Can a self-hosted AI usage tracker scale to thousands of developers?</t>
        </is>
      </c>
      <c r="C377" s="17" t="inlineStr">
        <is>
          <t>AEO</t>
        </is>
      </c>
      <c r="D377" s="12" t="inlineStr">
        <is>
          <t>Claude: CTO buying questions</t>
        </is>
      </c>
      <c r="E377" s="12" t="inlineStr">
        <is>
          <t>Privacy &amp; Self-hosted</t>
        </is>
      </c>
      <c r="F377" s="13" t="n"/>
      <c r="G377" s="13" t="n"/>
      <c r="H377" s="14" t="n"/>
      <c r="I377" s="12" t="inlineStr">
        <is>
          <t>Commercial</t>
        </is>
      </c>
      <c r="J377" s="15" t="n">
        <v>3</v>
      </c>
      <c r="K377" s="16">
        <f>IF(I377="","",IF(I377="Transactional",3,IF(I377="Commercial",2,1)))</f>
        <v/>
      </c>
      <c r="L377" s="16">
        <f>IF(G377="","",IF(G377&lt;=20,3,IF(G377&lt;=50,2,1)))</f>
        <v/>
      </c>
      <c r="M377" s="16">
        <f>IF(OR(J377="",K377="",L377=""),"",J377+K377+L377)</f>
        <v/>
      </c>
      <c r="N377" s="11" t="inlineStr">
        <is>
          <t>FAQ</t>
        </is>
      </c>
      <c r="O377" s="12" t="inlineStr">
        <is>
          <t>/self-hosted</t>
        </is>
      </c>
      <c r="P377" s="12" t="inlineStr">
        <is>
          <t>Trust</t>
        </is>
      </c>
      <c r="Q377" s="14" t="n"/>
      <c r="R377" s="14" t="n"/>
      <c r="S377" s="14" t="n"/>
      <c r="T377" s="12" t="inlineStr">
        <is>
          <t>Not started</t>
        </is>
      </c>
      <c r="U377" s="12" t="inlineStr">
        <is>
          <t>AI-generated idea: confirm real demand (Google, Reddit) before writing a page for it</t>
        </is>
      </c>
    </row>
    <row r="378">
      <c r="A378" s="11" t="n">
        <v>377</v>
      </c>
      <c r="B378" s="12" t="inlineStr">
        <is>
          <t>Which AI coding tools can be tracked in one platform?</t>
        </is>
      </c>
      <c r="C378" s="17" t="inlineStr">
        <is>
          <t>AEO</t>
        </is>
      </c>
      <c r="D378" s="12" t="inlineStr">
        <is>
          <t>Claude: CTO buying questions</t>
        </is>
      </c>
      <c r="E378" s="12" t="inlineStr">
        <is>
          <t>Multi-tool</t>
        </is>
      </c>
      <c r="F378" s="13" t="n"/>
      <c r="G378" s="13" t="n"/>
      <c r="H378" s="14" t="n"/>
      <c r="I378" s="12" t="inlineStr">
        <is>
          <t>Commercial</t>
        </is>
      </c>
      <c r="J378" s="15" t="n">
        <v>3</v>
      </c>
      <c r="K378" s="16">
        <f>IF(I378="","",IF(I378="Transactional",3,IF(I378="Commercial",2,1)))</f>
        <v/>
      </c>
      <c r="L378" s="16">
        <f>IF(G378="","",IF(G378&lt;=20,3,IF(G378&lt;=50,2,1)))</f>
        <v/>
      </c>
      <c r="M378" s="16">
        <f>IF(OR(J378="",K378="",L378=""),"",J378+K378+L378)</f>
        <v/>
      </c>
      <c r="N378" s="11" t="inlineStr">
        <is>
          <t>FAQ</t>
        </is>
      </c>
      <c r="O378" s="12" t="inlineStr">
        <is>
          <t>/integrations</t>
        </is>
      </c>
      <c r="P378" s="12" t="inlineStr">
        <is>
          <t>Integration</t>
        </is>
      </c>
      <c r="Q378" s="14" t="n"/>
      <c r="R378" s="14" t="n"/>
      <c r="S378" s="14" t="n"/>
      <c r="T378" s="12" t="inlineStr">
        <is>
          <t>Not started</t>
        </is>
      </c>
      <c r="U378" s="12" t="inlineStr">
        <is>
          <t>AI-generated idea: confirm real demand (Google, Reddit) before writing a page for it</t>
        </is>
      </c>
    </row>
    <row r="379">
      <c r="A379" s="11" t="n">
        <v>378</v>
      </c>
      <c r="B379" s="12" t="inlineStr">
        <is>
          <t>Is there one tool that tracks Claude Code, Cursor and GitHub Copilot together?</t>
        </is>
      </c>
      <c r="C379" s="17" t="inlineStr">
        <is>
          <t>AEO</t>
        </is>
      </c>
      <c r="D379" s="12" t="inlineStr">
        <is>
          <t>Claude: CTO buying questions</t>
        </is>
      </c>
      <c r="E379" s="12" t="inlineStr">
        <is>
          <t>Multi-tool</t>
        </is>
      </c>
      <c r="F379" s="13" t="n"/>
      <c r="G379" s="13" t="n"/>
      <c r="H379" s="14" t="n"/>
      <c r="I379" s="12" t="inlineStr">
        <is>
          <t>Commercial</t>
        </is>
      </c>
      <c r="J379" s="15" t="n">
        <v>3</v>
      </c>
      <c r="K379" s="16">
        <f>IF(I379="","",IF(I379="Transactional",3,IF(I379="Commercial",2,1)))</f>
        <v/>
      </c>
      <c r="L379" s="16">
        <f>IF(G379="","",IF(G379&lt;=20,3,IF(G379&lt;=50,2,1)))</f>
        <v/>
      </c>
      <c r="M379" s="16">
        <f>IF(OR(J379="",K379="",L379=""),"",J379+K379+L379)</f>
        <v/>
      </c>
      <c r="N379" s="11" t="inlineStr">
        <is>
          <t>FAQ</t>
        </is>
      </c>
      <c r="O379" s="12" t="inlineStr">
        <is>
          <t>/integrations</t>
        </is>
      </c>
      <c r="P379" s="12" t="inlineStr">
        <is>
          <t>Integration</t>
        </is>
      </c>
      <c r="Q379" s="14" t="n"/>
      <c r="R379" s="14" t="n"/>
      <c r="S379" s="14" t="n"/>
      <c r="T379" s="12" t="inlineStr">
        <is>
          <t>Not started</t>
        </is>
      </c>
      <c r="U379" s="12" t="inlineStr">
        <is>
          <t>AI-generated idea: confirm real demand (Google, Reddit) before writing a page for it</t>
        </is>
      </c>
    </row>
    <row r="380">
      <c r="A380" s="11" t="n">
        <v>379</v>
      </c>
      <c r="B380" s="12" t="inlineStr">
        <is>
          <t>How accurate are AI coding cost estimates?</t>
        </is>
      </c>
      <c r="C380" s="17" t="inlineStr">
        <is>
          <t>AEO</t>
        </is>
      </c>
      <c r="D380" s="12" t="inlineStr">
        <is>
          <t>Claude: CTO buying questions</t>
        </is>
      </c>
      <c r="E380" s="12" t="inlineStr">
        <is>
          <t>Cost</t>
        </is>
      </c>
      <c r="F380" s="13" t="n"/>
      <c r="G380" s="13" t="n"/>
      <c r="H380" s="14" t="n"/>
      <c r="I380" s="12" t="inlineStr">
        <is>
          <t>Commercial</t>
        </is>
      </c>
      <c r="J380" s="15" t="n">
        <v>3</v>
      </c>
      <c r="K380" s="16">
        <f>IF(I380="","",IF(I380="Transactional",3,IF(I380="Commercial",2,1)))</f>
        <v/>
      </c>
      <c r="L380" s="16">
        <f>IF(G380="","",IF(G380&lt;=20,3,IF(G380&lt;=50,2,1)))</f>
        <v/>
      </c>
      <c r="M380" s="16">
        <f>IF(OR(J380="",K380="",L380=""),"",J380+K380+L380)</f>
        <v/>
      </c>
      <c r="N380" s="11" t="inlineStr">
        <is>
          <t>FAQ</t>
        </is>
      </c>
      <c r="O380" s="12" t="inlineStr">
        <is>
          <t>/ai-cost-tracking</t>
        </is>
      </c>
      <c r="P380" s="12" t="inlineStr">
        <is>
          <t>Interactive guide</t>
        </is>
      </c>
      <c r="Q380" s="14" t="n"/>
      <c r="R380" s="14" t="n"/>
      <c r="S380" s="14" t="n"/>
      <c r="T380" s="12" t="inlineStr">
        <is>
          <t>Not started</t>
        </is>
      </c>
      <c r="U380" s="12" t="inlineStr">
        <is>
          <t>AI-generated idea: confirm real demand (Google, Reddit) before writing a page for it</t>
        </is>
      </c>
    </row>
    <row r="381">
      <c r="A381" s="11" t="n">
        <v>380</v>
      </c>
      <c r="B381" s="12" t="inlineStr">
        <is>
          <t>Can we track AI spend per project for client billing?</t>
        </is>
      </c>
      <c r="C381" s="17" t="inlineStr">
        <is>
          <t>AEO</t>
        </is>
      </c>
      <c r="D381" s="12" t="inlineStr">
        <is>
          <t>Claude: CTO buying questions</t>
        </is>
      </c>
      <c r="E381" s="12" t="inlineStr">
        <is>
          <t>Cost</t>
        </is>
      </c>
      <c r="F381" s="13" t="n"/>
      <c r="G381" s="13" t="n"/>
      <c r="H381" s="14" t="n"/>
      <c r="I381" s="12" t="inlineStr">
        <is>
          <t>Commercial</t>
        </is>
      </c>
      <c r="J381" s="15" t="n">
        <v>3</v>
      </c>
      <c r="K381" s="16">
        <f>IF(I381="","",IF(I381="Transactional",3,IF(I381="Commercial",2,1)))</f>
        <v/>
      </c>
      <c r="L381" s="16">
        <f>IF(G381="","",IF(G381&lt;=20,3,IF(G381&lt;=50,2,1)))</f>
        <v/>
      </c>
      <c r="M381" s="16">
        <f>IF(OR(J381="",K381="",L381=""),"",J381+K381+L381)</f>
        <v/>
      </c>
      <c r="N381" s="11" t="inlineStr">
        <is>
          <t>FAQ</t>
        </is>
      </c>
      <c r="O381" s="12" t="inlineStr">
        <is>
          <t>/ai-cost-tracking</t>
        </is>
      </c>
      <c r="P381" s="12" t="inlineStr">
        <is>
          <t>Interactive guide</t>
        </is>
      </c>
      <c r="Q381" s="14" t="n"/>
      <c r="R381" s="14" t="n"/>
      <c r="S381" s="14" t="n"/>
      <c r="T381" s="12" t="inlineStr">
        <is>
          <t>Not started</t>
        </is>
      </c>
      <c r="U381" s="12" t="inlineStr">
        <is>
          <t>AI-generated idea: confirm real demand (Google, Reddit) before writing a page for it</t>
        </is>
      </c>
    </row>
    <row r="382">
      <c r="A382" s="11" t="n">
        <v>381</v>
      </c>
      <c r="B382" s="12" t="inlineStr">
        <is>
          <t>Does AI coding analytics need an AI API key or send data to an LLM?</t>
        </is>
      </c>
      <c r="C382" s="17" t="inlineStr">
        <is>
          <t>AEO</t>
        </is>
      </c>
      <c r="D382" s="12" t="inlineStr">
        <is>
          <t>Claude: CTO buying questions</t>
        </is>
      </c>
      <c r="E382" s="12" t="inlineStr">
        <is>
          <t>FAQ (brand)</t>
        </is>
      </c>
      <c r="F382" s="13" t="n"/>
      <c r="G382" s="13" t="n"/>
      <c r="H382" s="14" t="n"/>
      <c r="I382" s="12" t="inlineStr">
        <is>
          <t>Commercial</t>
        </is>
      </c>
      <c r="J382" s="15" t="n">
        <v>3</v>
      </c>
      <c r="K382" s="16">
        <f>IF(I382="","",IF(I382="Transactional",3,IF(I382="Commercial",2,1)))</f>
        <v/>
      </c>
      <c r="L382" s="16">
        <f>IF(G382="","",IF(G382&lt;=20,3,IF(G382&lt;=50,2,1)))</f>
        <v/>
      </c>
      <c r="M382" s="16">
        <f>IF(OR(J382="",K382="",L382=""),"",J382+K382+L382)</f>
        <v/>
      </c>
      <c r="N382" s="11" t="inlineStr">
        <is>
          <t>FAQ</t>
        </is>
      </c>
      <c r="O382" s="12" t="inlineStr">
        <is>
          <t>/faq</t>
        </is>
      </c>
      <c r="P382" s="12" t="inlineStr">
        <is>
          <t>FAQ</t>
        </is>
      </c>
      <c r="Q382" s="14" t="n"/>
      <c r="R382" s="14" t="n"/>
      <c r="S382" s="14" t="n"/>
      <c r="T382" s="12" t="inlineStr">
        <is>
          <t>Not started</t>
        </is>
      </c>
      <c r="U382" s="12" t="inlineStr">
        <is>
          <t>AI-generated idea: confirm real demand (Google, Reddit) before writing a page for it</t>
        </is>
      </c>
    </row>
    <row r="383">
      <c r="A383" s="11" t="n">
        <v>382</v>
      </c>
      <c r="B383" s="12" t="inlineStr">
        <is>
          <t>How long does it take to set up AI coding analytics for 100 developers?</t>
        </is>
      </c>
      <c r="C383" s="17" t="inlineStr">
        <is>
          <t>AEO</t>
        </is>
      </c>
      <c r="D383" s="12" t="inlineStr">
        <is>
          <t>Claude: CTO buying questions</t>
        </is>
      </c>
      <c r="E383" s="12" t="inlineStr">
        <is>
          <t>FAQ (brand)</t>
        </is>
      </c>
      <c r="F383" s="13" t="n"/>
      <c r="G383" s="13" t="n"/>
      <c r="H383" s="14" t="n"/>
      <c r="I383" s="12" t="inlineStr">
        <is>
          <t>Commercial</t>
        </is>
      </c>
      <c r="J383" s="15" t="n">
        <v>3</v>
      </c>
      <c r="K383" s="16">
        <f>IF(I383="","",IF(I383="Transactional",3,IF(I383="Commercial",2,1)))</f>
        <v/>
      </c>
      <c r="L383" s="16">
        <f>IF(G383="","",IF(G383&lt;=20,3,IF(G383&lt;=50,2,1)))</f>
        <v/>
      </c>
      <c r="M383" s="16">
        <f>IF(OR(J383="",K383="",L383=""),"",J383+K383+L383)</f>
        <v/>
      </c>
      <c r="N383" s="11" t="inlineStr">
        <is>
          <t>FAQ</t>
        </is>
      </c>
      <c r="O383" s="12" t="inlineStr">
        <is>
          <t>/faq</t>
        </is>
      </c>
      <c r="P383" s="12" t="inlineStr">
        <is>
          <t>FAQ</t>
        </is>
      </c>
      <c r="Q383" s="14" t="n"/>
      <c r="R383" s="14" t="n"/>
      <c r="S383" s="14" t="n"/>
      <c r="T383" s="12" t="inlineStr">
        <is>
          <t>Not started</t>
        </is>
      </c>
      <c r="U383" s="12" t="inlineStr">
        <is>
          <t>AI-generated idea: confirm real demand (Google, Reddit) before writing a page for it</t>
        </is>
      </c>
    </row>
    <row r="384">
      <c r="A384" s="11" t="n">
        <v>383</v>
      </c>
      <c r="B384" s="12" t="inlineStr">
        <is>
          <t>Does the AI usage collector work on Windows and macOS?</t>
        </is>
      </c>
      <c r="C384" s="17" t="inlineStr">
        <is>
          <t>AEO</t>
        </is>
      </c>
      <c r="D384" s="12" t="inlineStr">
        <is>
          <t>Claude: CTO buying questions</t>
        </is>
      </c>
      <c r="E384" s="12" t="inlineStr">
        <is>
          <t>FAQ (brand)</t>
        </is>
      </c>
      <c r="F384" s="13" t="n"/>
      <c r="G384" s="13" t="n"/>
      <c r="H384" s="14" t="n"/>
      <c r="I384" s="12" t="inlineStr">
        <is>
          <t>Commercial</t>
        </is>
      </c>
      <c r="J384" s="15" t="n">
        <v>3</v>
      </c>
      <c r="K384" s="16">
        <f>IF(I384="","",IF(I384="Transactional",3,IF(I384="Commercial",2,1)))</f>
        <v/>
      </c>
      <c r="L384" s="16">
        <f>IF(G384="","",IF(G384&lt;=20,3,IF(G384&lt;=50,2,1)))</f>
        <v/>
      </c>
      <c r="M384" s="16">
        <f>IF(OR(J384="",K384="",L384=""),"",J384+K384+L384)</f>
        <v/>
      </c>
      <c r="N384" s="11" t="inlineStr">
        <is>
          <t>FAQ</t>
        </is>
      </c>
      <c r="O384" s="12" t="inlineStr">
        <is>
          <t>/faq</t>
        </is>
      </c>
      <c r="P384" s="12" t="inlineStr">
        <is>
          <t>FAQ</t>
        </is>
      </c>
      <c r="Q384" s="14" t="n"/>
      <c r="R384" s="14" t="n"/>
      <c r="S384" s="14" t="n"/>
      <c r="T384" s="12" t="inlineStr">
        <is>
          <t>Not started</t>
        </is>
      </c>
      <c r="U384" s="12" t="inlineStr">
        <is>
          <t>AI-generated idea: confirm real demand (Google, Reddit) before writing a page for it</t>
        </is>
      </c>
    </row>
    <row r="385">
      <c r="A385" s="11" t="n">
        <v>384</v>
      </c>
      <c r="B385" s="12" t="inlineStr">
        <is>
          <t>What happens to AI session data when developers are offline?</t>
        </is>
      </c>
      <c r="C385" s="17" t="inlineStr">
        <is>
          <t>AEO</t>
        </is>
      </c>
      <c r="D385" s="12" t="inlineStr">
        <is>
          <t>Claude: CTO buying questions</t>
        </is>
      </c>
      <c r="E385" s="12" t="inlineStr">
        <is>
          <t>FAQ (brand)</t>
        </is>
      </c>
      <c r="F385" s="13" t="n"/>
      <c r="G385" s="13" t="n"/>
      <c r="H385" s="14" t="n"/>
      <c r="I385" s="12" t="inlineStr">
        <is>
          <t>Commercial</t>
        </is>
      </c>
      <c r="J385" s="15" t="n">
        <v>3</v>
      </c>
      <c r="K385" s="16">
        <f>IF(I385="","",IF(I385="Transactional",3,IF(I385="Commercial",2,1)))</f>
        <v/>
      </c>
      <c r="L385" s="16">
        <f>IF(G385="","",IF(G385&lt;=20,3,IF(G385&lt;=50,2,1)))</f>
        <v/>
      </c>
      <c r="M385" s="16">
        <f>IF(OR(J385="",K385="",L385=""),"",J385+K385+L385)</f>
        <v/>
      </c>
      <c r="N385" s="11" t="inlineStr">
        <is>
          <t>FAQ</t>
        </is>
      </c>
      <c r="O385" s="12" t="inlineStr">
        <is>
          <t>/faq</t>
        </is>
      </c>
      <c r="P385" s="12" t="inlineStr">
        <is>
          <t>FAQ</t>
        </is>
      </c>
      <c r="Q385" s="14" t="n"/>
      <c r="R385" s="14" t="n"/>
      <c r="S385" s="14" t="n"/>
      <c r="T385" s="12" t="inlineStr">
        <is>
          <t>Not started</t>
        </is>
      </c>
      <c r="U385" s="12" t="inlineStr">
        <is>
          <t>AI-generated idea: confirm real demand (Google, Reddit) before writing a page for it</t>
        </is>
      </c>
    </row>
    <row r="386">
      <c r="A386" s="11" t="n">
        <v>385</v>
      </c>
      <c r="B386" s="12" t="inlineStr">
        <is>
          <t>How does AI coding analytics handle developers with multiple machines?</t>
        </is>
      </c>
      <c r="C386" s="17" t="inlineStr">
        <is>
          <t>AEO</t>
        </is>
      </c>
      <c r="D386" s="12" t="inlineStr">
        <is>
          <t>Claude: CTO buying questions</t>
        </is>
      </c>
      <c r="E386" s="12" t="inlineStr">
        <is>
          <t>FAQ (brand)</t>
        </is>
      </c>
      <c r="F386" s="13" t="n"/>
      <c r="G386" s="13" t="n"/>
      <c r="H386" s="14" t="n"/>
      <c r="I386" s="12" t="inlineStr">
        <is>
          <t>Commercial</t>
        </is>
      </c>
      <c r="J386" s="15" t="n">
        <v>3</v>
      </c>
      <c r="K386" s="16">
        <f>IF(I386="","",IF(I386="Transactional",3,IF(I386="Commercial",2,1)))</f>
        <v/>
      </c>
      <c r="L386" s="16">
        <f>IF(G386="","",IF(G386&lt;=20,3,IF(G386&lt;=50,2,1)))</f>
        <v/>
      </c>
      <c r="M386" s="16">
        <f>IF(OR(J386="",K386="",L386=""),"",J386+K386+L386)</f>
        <v/>
      </c>
      <c r="N386" s="11" t="inlineStr">
        <is>
          <t>FAQ</t>
        </is>
      </c>
      <c r="O386" s="12" t="inlineStr">
        <is>
          <t>/faq</t>
        </is>
      </c>
      <c r="P386" s="12" t="inlineStr">
        <is>
          <t>FAQ</t>
        </is>
      </c>
      <c r="Q386" s="14" t="n"/>
      <c r="R386" s="14" t="n"/>
      <c r="S386" s="14" t="n"/>
      <c r="T386" s="12" t="inlineStr">
        <is>
          <t>Not started</t>
        </is>
      </c>
      <c r="U386" s="12" t="inlineStr">
        <is>
          <t>AI-generated idea: confirm real demand (Google, Reddit) before writing a page for it</t>
        </is>
      </c>
    </row>
    <row r="387">
      <c r="A387" s="11" t="n">
        <v>386</v>
      </c>
      <c r="B387" s="12" t="inlineStr">
        <is>
          <t>How does AI coding analytics compare to LinearB, Jellyfish, DX or Swarmia?</t>
        </is>
      </c>
      <c r="C387" s="17" t="inlineStr">
        <is>
          <t>AEO</t>
        </is>
      </c>
      <c r="D387" s="12" t="inlineStr">
        <is>
          <t>Claude: CTO buying questions</t>
        </is>
      </c>
      <c r="E387" s="12" t="inlineStr">
        <is>
          <t>Competitor</t>
        </is>
      </c>
      <c r="F387" s="13" t="n"/>
      <c r="G387" s="13" t="n"/>
      <c r="H387" s="14" t="n"/>
      <c r="I387" s="12" t="inlineStr">
        <is>
          <t>Commercial</t>
        </is>
      </c>
      <c r="J387" s="15" t="n">
        <v>2</v>
      </c>
      <c r="K387" s="16">
        <f>IF(I387="","",IF(I387="Transactional",3,IF(I387="Commercial",2,1)))</f>
        <v/>
      </c>
      <c r="L387" s="16">
        <f>IF(G387="","",IF(G387&lt;=20,3,IF(G387&lt;=50,2,1)))</f>
        <v/>
      </c>
      <c r="M387" s="16">
        <f>IF(OR(J387="",K387="",L387=""),"",J387+K387+L387)</f>
        <v/>
      </c>
      <c r="N387" s="11" t="inlineStr">
        <is>
          <t>FAQ</t>
        </is>
      </c>
      <c r="O387" s="12" t="inlineStr">
        <is>
          <t>/compare</t>
        </is>
      </c>
      <c r="P387" s="12" t="inlineStr">
        <is>
          <t>Compare</t>
        </is>
      </c>
      <c r="Q387" s="14" t="n"/>
      <c r="R387" s="14" t="n"/>
      <c r="S387" s="14" t="n"/>
      <c r="T387" s="12" t="inlineStr">
        <is>
          <t>Not started</t>
        </is>
      </c>
      <c r="U387" s="12" t="inlineStr">
        <is>
          <t>AI-generated idea: confirm real demand (Google, Reddit) before writing a page for it</t>
        </is>
      </c>
    </row>
    <row r="388">
      <c r="A388" s="11" t="n">
        <v>387</v>
      </c>
      <c r="B388" s="12" t="inlineStr">
        <is>
          <t>How is a cross-tool AI analytics platform different from GitHub Copilot Metrics?</t>
        </is>
      </c>
      <c r="C388" s="17" t="inlineStr">
        <is>
          <t>AEO</t>
        </is>
      </c>
      <c r="D388" s="12" t="inlineStr">
        <is>
          <t>Claude: CTO buying questions</t>
        </is>
      </c>
      <c r="E388" s="12" t="inlineStr">
        <is>
          <t>Competitor</t>
        </is>
      </c>
      <c r="F388" s="13" t="n"/>
      <c r="G388" s="13" t="n"/>
      <c r="H388" s="14" t="n"/>
      <c r="I388" s="12" t="inlineStr">
        <is>
          <t>Commercial</t>
        </is>
      </c>
      <c r="J388" s="15" t="n">
        <v>2</v>
      </c>
      <c r="K388" s="16">
        <f>IF(I388="","",IF(I388="Transactional",3,IF(I388="Commercial",2,1)))</f>
        <v/>
      </c>
      <c r="L388" s="16">
        <f>IF(G388="","",IF(G388&lt;=20,3,IF(G388&lt;=50,2,1)))</f>
        <v/>
      </c>
      <c r="M388" s="16">
        <f>IF(OR(J388="",K388="",L388=""),"",J388+K388+L388)</f>
        <v/>
      </c>
      <c r="N388" s="11" t="inlineStr">
        <is>
          <t>FAQ</t>
        </is>
      </c>
      <c r="O388" s="12" t="inlineStr">
        <is>
          <t>/compare/github-copilot-metrics</t>
        </is>
      </c>
      <c r="P388" s="12" t="inlineStr">
        <is>
          <t>Compare</t>
        </is>
      </c>
      <c r="Q388" s="14" t="n"/>
      <c r="R388" s="14" t="n"/>
      <c r="S388" s="14" t="n"/>
      <c r="T388" s="12" t="inlineStr">
        <is>
          <t>Not started</t>
        </is>
      </c>
      <c r="U388" s="12" t="inlineStr">
        <is>
          <t>AI-generated idea: confirm real demand (Google, Reddit) before writing a page for it</t>
        </is>
      </c>
    </row>
    <row r="389">
      <c r="A389" s="11" t="n">
        <v>388</v>
      </c>
      <c r="B389" s="12" t="inlineStr">
        <is>
          <t>How is a team AI analytics tool different from the Anthropic console?</t>
        </is>
      </c>
      <c r="C389" s="17" t="inlineStr">
        <is>
          <t>AEO</t>
        </is>
      </c>
      <c r="D389" s="12" t="inlineStr">
        <is>
          <t>Claude: CTO buying questions</t>
        </is>
      </c>
      <c r="E389" s="12" t="inlineStr">
        <is>
          <t>Competitor</t>
        </is>
      </c>
      <c r="F389" s="13" t="n"/>
      <c r="G389" s="13" t="n"/>
      <c r="H389" s="14" t="n"/>
      <c r="I389" s="12" t="inlineStr">
        <is>
          <t>Commercial</t>
        </is>
      </c>
      <c r="J389" s="15" t="n">
        <v>2</v>
      </c>
      <c r="K389" s="16">
        <f>IF(I389="","",IF(I389="Transactional",3,IF(I389="Commercial",2,1)))</f>
        <v/>
      </c>
      <c r="L389" s="16">
        <f>IF(G389="","",IF(G389&lt;=20,3,IF(G389&lt;=50,2,1)))</f>
        <v/>
      </c>
      <c r="M389" s="16">
        <f>IF(OR(J389="",K389="",L389=""),"",J389+K389+L389)</f>
        <v/>
      </c>
      <c r="N389" s="11" t="inlineStr">
        <is>
          <t>FAQ</t>
        </is>
      </c>
      <c r="O389" s="12" t="inlineStr">
        <is>
          <t>/compare/anthropic-console</t>
        </is>
      </c>
      <c r="P389" s="12" t="inlineStr">
        <is>
          <t>Solution</t>
        </is>
      </c>
      <c r="Q389" s="14" t="n"/>
      <c r="R389" s="14" t="n"/>
      <c r="S389" s="14" t="n"/>
      <c r="T389" s="12" t="inlineStr">
        <is>
          <t>Not started</t>
        </is>
      </c>
      <c r="U389" s="12" t="inlineStr">
        <is>
          <t>AI-generated idea: confirm real demand (Google, Reddit) before writing a page for it</t>
        </is>
      </c>
    </row>
    <row r="390">
      <c r="A390" s="11" t="n">
        <v>389</v>
      </c>
      <c r="B390" s="12" t="inlineStr">
        <is>
          <t>Is there an API or MCP server for engineering analytics?</t>
        </is>
      </c>
      <c r="C390" s="17" t="inlineStr">
        <is>
          <t>AEO</t>
        </is>
      </c>
      <c r="D390" s="12" t="inlineStr">
        <is>
          <t>Claude: CTO buying questions</t>
        </is>
      </c>
      <c r="E390" s="12" t="inlineStr">
        <is>
          <t>AI Agents &amp; MCP</t>
        </is>
      </c>
      <c r="F390" s="13" t="n"/>
      <c r="G390" s="13" t="n"/>
      <c r="H390" s="14" t="n"/>
      <c r="I390" s="12" t="inlineStr">
        <is>
          <t>Commercial</t>
        </is>
      </c>
      <c r="J390" s="15" t="n">
        <v>3</v>
      </c>
      <c r="K390" s="16">
        <f>IF(I390="","",IF(I390="Transactional",3,IF(I390="Commercial",2,1)))</f>
        <v/>
      </c>
      <c r="L390" s="16">
        <f>IF(G390="","",IF(G390&lt;=20,3,IF(G390&lt;=50,2,1)))</f>
        <v/>
      </c>
      <c r="M390" s="16">
        <f>IF(OR(J390="",K390="",L390=""),"",J390+K390+L390)</f>
        <v/>
      </c>
      <c r="N390" s="11" t="inlineStr">
        <is>
          <t>FAQ</t>
        </is>
      </c>
      <c r="O390" s="12" t="inlineStr">
        <is>
          <t>/docs</t>
        </is>
      </c>
      <c r="P390" s="12" t="inlineStr">
        <is>
          <t>Docs</t>
        </is>
      </c>
      <c r="Q390" s="14" t="n"/>
      <c r="R390" s="14" t="n"/>
      <c r="S390" s="14" t="n"/>
      <c r="T390" s="12" t="inlineStr">
        <is>
          <t>Not started</t>
        </is>
      </c>
      <c r="U390" s="12" t="inlineStr">
        <is>
          <t>AI-generated idea: confirm real demand (Google, Reddit) before writing a page for it</t>
        </is>
      </c>
    </row>
    <row r="391">
      <c r="A391" s="11" t="n">
        <v>390</v>
      </c>
      <c r="B391" s="12" t="inlineStr">
        <is>
          <t>Can AI coding analytics data be exported to our BI tools?</t>
        </is>
      </c>
      <c r="C391" s="17" t="inlineStr">
        <is>
          <t>AEO</t>
        </is>
      </c>
      <c r="D391" s="12" t="inlineStr">
        <is>
          <t>Claude: CTO buying questions</t>
        </is>
      </c>
      <c r="E391" s="12" t="inlineStr">
        <is>
          <t>AI Agents &amp; MCP</t>
        </is>
      </c>
      <c r="F391" s="13" t="n"/>
      <c r="G391" s="13" t="n"/>
      <c r="H391" s="14" t="n"/>
      <c r="I391" s="12" t="inlineStr">
        <is>
          <t>Commercial</t>
        </is>
      </c>
      <c r="J391" s="15" t="n">
        <v>3</v>
      </c>
      <c r="K391" s="16">
        <f>IF(I391="","",IF(I391="Transactional",3,IF(I391="Commercial",2,1)))</f>
        <v/>
      </c>
      <c r="L391" s="16">
        <f>IF(G391="","",IF(G391&lt;=20,3,IF(G391&lt;=50,2,1)))</f>
        <v/>
      </c>
      <c r="M391" s="16">
        <f>IF(OR(J391="",K391="",L391=""),"",J391+K391+L391)</f>
        <v/>
      </c>
      <c r="N391" s="11" t="inlineStr">
        <is>
          <t>FAQ</t>
        </is>
      </c>
      <c r="O391" s="12" t="inlineStr">
        <is>
          <t>/docs</t>
        </is>
      </c>
      <c r="P391" s="12" t="inlineStr">
        <is>
          <t>Docs</t>
        </is>
      </c>
      <c r="Q391" s="14" t="n"/>
      <c r="R391" s="14" t="n"/>
      <c r="S391" s="14" t="n"/>
      <c r="T391" s="12" t="inlineStr">
        <is>
          <t>Not started</t>
        </is>
      </c>
      <c r="U391" s="12" t="inlineStr">
        <is>
          <t>AI-generated idea: confirm real demand (Google, Reddit) before writing a page for it</t>
        </is>
      </c>
    </row>
    <row r="392">
      <c r="A392" s="11" t="n">
        <v>391</v>
      </c>
      <c r="B392" s="12" t="inlineStr">
        <is>
          <t>How does role-based access work in developer analytics tools?</t>
        </is>
      </c>
      <c r="C392" s="17" t="inlineStr">
        <is>
          <t>AEO</t>
        </is>
      </c>
      <c r="D392" s="12" t="inlineStr">
        <is>
          <t>Claude: CTO buying questions</t>
        </is>
      </c>
      <c r="E392" s="12" t="inlineStr">
        <is>
          <t>Admin &amp; Security</t>
        </is>
      </c>
      <c r="F392" s="13" t="n"/>
      <c r="G392" s="13" t="n"/>
      <c r="H392" s="14" t="n"/>
      <c r="I392" s="12" t="inlineStr">
        <is>
          <t>Commercial</t>
        </is>
      </c>
      <c r="J392" s="15" t="n">
        <v>3</v>
      </c>
      <c r="K392" s="16">
        <f>IF(I392="","",IF(I392="Transactional",3,IF(I392="Commercial",2,1)))</f>
        <v/>
      </c>
      <c r="L392" s="16">
        <f>IF(G392="","",IF(G392&lt;=20,3,IF(G392&lt;=50,2,1)))</f>
        <v/>
      </c>
      <c r="M392" s="16">
        <f>IF(OR(J392="",K392="",L392=""),"",J392+K392+L392)</f>
        <v/>
      </c>
      <c r="N392" s="11" t="inlineStr">
        <is>
          <t>FAQ</t>
        </is>
      </c>
      <c r="O392" s="12" t="inlineStr">
        <is>
          <t>/features</t>
        </is>
      </c>
      <c r="P392" s="12" t="inlineStr">
        <is>
          <t>Feature</t>
        </is>
      </c>
      <c r="Q392" s="14" t="n"/>
      <c r="R392" s="14" t="n"/>
      <c r="S392" s="14" t="n"/>
      <c r="T392" s="12" t="inlineStr">
        <is>
          <t>Not started</t>
        </is>
      </c>
      <c r="U392" s="12" t="inlineStr">
        <is>
          <t>AI-generated idea: confirm real demand (Google, Reddit) before writing a page for it</t>
        </is>
      </c>
    </row>
    <row r="393">
      <c r="A393" s="11" t="n">
        <v>392</v>
      </c>
      <c r="B393" s="12" t="inlineStr">
        <is>
          <t>Does AI coding analytics include an audit log of admin actions?</t>
        </is>
      </c>
      <c r="C393" s="17" t="inlineStr">
        <is>
          <t>AEO</t>
        </is>
      </c>
      <c r="D393" s="12" t="inlineStr">
        <is>
          <t>Claude: CTO buying questions</t>
        </is>
      </c>
      <c r="E393" s="12" t="inlineStr">
        <is>
          <t>Admin &amp; Security</t>
        </is>
      </c>
      <c r="F393" s="13" t="n"/>
      <c r="G393" s="13" t="n"/>
      <c r="H393" s="14" t="n"/>
      <c r="I393" s="12" t="inlineStr">
        <is>
          <t>Commercial</t>
        </is>
      </c>
      <c r="J393" s="15" t="n">
        <v>3</v>
      </c>
      <c r="K393" s="16">
        <f>IF(I393="","",IF(I393="Transactional",3,IF(I393="Commercial",2,1)))</f>
        <v/>
      </c>
      <c r="L393" s="16">
        <f>IF(G393="","",IF(G393&lt;=20,3,IF(G393&lt;=50,2,1)))</f>
        <v/>
      </c>
      <c r="M393" s="16">
        <f>IF(OR(J393="",K393="",L393=""),"",J393+K393+L393)</f>
        <v/>
      </c>
      <c r="N393" s="11" t="inlineStr">
        <is>
          <t>FAQ</t>
        </is>
      </c>
      <c r="O393" s="12" t="inlineStr">
        <is>
          <t>/features</t>
        </is>
      </c>
      <c r="P393" s="12" t="inlineStr">
        <is>
          <t>Feature</t>
        </is>
      </c>
      <c r="Q393" s="14" t="n"/>
      <c r="R393" s="14" t="n"/>
      <c r="S393" s="14" t="n"/>
      <c r="T393" s="12" t="inlineStr">
        <is>
          <t>Not started</t>
        </is>
      </c>
      <c r="U393" s="12" t="inlineStr">
        <is>
          <t>AI-generated idea: confirm real demand (Google, Reddit) before writing a page for it</t>
        </is>
      </c>
    </row>
    <row r="394">
      <c r="A394" s="11" t="n">
        <v>393</v>
      </c>
      <c r="B394" s="12" t="inlineStr">
        <is>
          <t>Can we configure how long developer analytics data is retained?</t>
        </is>
      </c>
      <c r="C394" s="17" t="inlineStr">
        <is>
          <t>AEO</t>
        </is>
      </c>
      <c r="D394" s="12" t="inlineStr">
        <is>
          <t>Claude: CTO buying questions</t>
        </is>
      </c>
      <c r="E394" s="12" t="inlineStr">
        <is>
          <t>Admin &amp; Security</t>
        </is>
      </c>
      <c r="F394" s="13" t="n"/>
      <c r="G394" s="13" t="n"/>
      <c r="H394" s="14" t="n"/>
      <c r="I394" s="12" t="inlineStr">
        <is>
          <t>Commercial</t>
        </is>
      </c>
      <c r="J394" s="15" t="n">
        <v>3</v>
      </c>
      <c r="K394" s="16">
        <f>IF(I394="","",IF(I394="Transactional",3,IF(I394="Commercial",2,1)))</f>
        <v/>
      </c>
      <c r="L394" s="16">
        <f>IF(G394="","",IF(G394&lt;=20,3,IF(G394&lt;=50,2,1)))</f>
        <v/>
      </c>
      <c r="M394" s="16">
        <f>IF(OR(J394="",K394="",L394=""),"",J394+K394+L394)</f>
        <v/>
      </c>
      <c r="N394" s="11" t="inlineStr">
        <is>
          <t>FAQ</t>
        </is>
      </c>
      <c r="O394" s="12" t="inlineStr">
        <is>
          <t>/features</t>
        </is>
      </c>
      <c r="P394" s="12" t="inlineStr">
        <is>
          <t>Feature</t>
        </is>
      </c>
      <c r="Q394" s="14" t="n"/>
      <c r="R394" s="14" t="n"/>
      <c r="S394" s="14" t="n"/>
      <c r="T394" s="12" t="inlineStr">
        <is>
          <t>Not started</t>
        </is>
      </c>
      <c r="U394" s="12" t="inlineStr">
        <is>
          <t>AI-generated idea: confirm real demand (Google, Reddit) before writing a page for it</t>
        </is>
      </c>
    </row>
    <row r="395">
      <c r="A395" s="11" t="n">
        <v>394</v>
      </c>
      <c r="B395" s="12" t="inlineStr">
        <is>
          <t>Does AI coding analytics support sign-up by company email domain?</t>
        </is>
      </c>
      <c r="C395" s="17" t="inlineStr">
        <is>
          <t>AEO</t>
        </is>
      </c>
      <c r="D395" s="12" t="inlineStr">
        <is>
          <t>Claude: CTO buying questions</t>
        </is>
      </c>
      <c r="E395" s="12" t="inlineStr">
        <is>
          <t>Admin &amp; Security</t>
        </is>
      </c>
      <c r="F395" s="13" t="n"/>
      <c r="G395" s="13" t="n"/>
      <c r="H395" s="14" t="n"/>
      <c r="I395" s="12" t="inlineStr">
        <is>
          <t>Commercial</t>
        </is>
      </c>
      <c r="J395" s="15" t="n">
        <v>3</v>
      </c>
      <c r="K395" s="16">
        <f>IF(I395="","",IF(I395="Transactional",3,IF(I395="Commercial",2,1)))</f>
        <v/>
      </c>
      <c r="L395" s="16">
        <f>IF(G395="","",IF(G395&lt;=20,3,IF(G395&lt;=50,2,1)))</f>
        <v/>
      </c>
      <c r="M395" s="16">
        <f>IF(OR(J395="",K395="",L395=""),"",J395+K395+L395)</f>
        <v/>
      </c>
      <c r="N395" s="11" t="inlineStr">
        <is>
          <t>FAQ</t>
        </is>
      </c>
      <c r="O395" s="12" t="inlineStr">
        <is>
          <t>/features</t>
        </is>
      </c>
      <c r="P395" s="12" t="inlineStr">
        <is>
          <t>Feature</t>
        </is>
      </c>
      <c r="Q395" s="14" t="n"/>
      <c r="R395" s="14" t="n"/>
      <c r="S395" s="14" t="n"/>
      <c r="T395" s="12" t="inlineStr">
        <is>
          <t>Not started</t>
        </is>
      </c>
      <c r="U395" s="12" t="inlineStr">
        <is>
          <t>AI-generated idea: confirm real demand (Google, Reddit) before writing a page for it</t>
        </is>
      </c>
    </row>
    <row r="396">
      <c r="A396" s="11" t="n">
        <v>395</v>
      </c>
      <c r="B396" s="12" t="inlineStr">
        <is>
          <t>Can an analytics tool detect shadow AI coding tool usage?</t>
        </is>
      </c>
      <c r="C396" s="17" t="inlineStr">
        <is>
          <t>AEO</t>
        </is>
      </c>
      <c r="D396" s="12" t="inlineStr">
        <is>
          <t>Claude: CTO buying questions</t>
        </is>
      </c>
      <c r="E396" s="12" t="inlineStr">
        <is>
          <t>Shadow AI &amp; Seats</t>
        </is>
      </c>
      <c r="F396" s="13" t="n"/>
      <c r="G396" s="13" t="n"/>
      <c r="H396" s="14" t="n"/>
      <c r="I396" s="12" t="inlineStr">
        <is>
          <t>Commercial</t>
        </is>
      </c>
      <c r="J396" s="15" t="n">
        <v>3</v>
      </c>
      <c r="K396" s="16">
        <f>IF(I396="","",IF(I396="Transactional",3,IF(I396="Commercial",2,1)))</f>
        <v/>
      </c>
      <c r="L396" s="16">
        <f>IF(G396="","",IF(G396&lt;=20,3,IF(G396&lt;=50,2,1)))</f>
        <v/>
      </c>
      <c r="M396" s="16">
        <f>IF(OR(J396="",K396="",L396=""),"",J396+K396+L396)</f>
        <v/>
      </c>
      <c r="N396" s="11" t="inlineStr">
        <is>
          <t>FAQ</t>
        </is>
      </c>
      <c r="O396" s="12" t="inlineStr">
        <is>
          <t>/shadow-ai</t>
        </is>
      </c>
      <c r="P396" s="12" t="inlineStr">
        <is>
          <t>Solution</t>
        </is>
      </c>
      <c r="Q396" s="14" t="n"/>
      <c r="R396" s="14" t="n"/>
      <c r="S396" s="14" t="n"/>
      <c r="T396" s="12" t="inlineStr">
        <is>
          <t>Not started</t>
        </is>
      </c>
      <c r="U396" s="12" t="inlineStr">
        <is>
          <t>AI-generated idea: confirm real demand (Google, Reddit) before writing a page for it</t>
        </is>
      </c>
    </row>
    <row r="397">
      <c r="A397" s="11" t="n">
        <v>396</v>
      </c>
      <c r="B397" s="12" t="inlineStr">
        <is>
          <t>How much does AI coding analytics cost per developer?</t>
        </is>
      </c>
      <c r="C397" s="17" t="inlineStr">
        <is>
          <t>AEO</t>
        </is>
      </c>
      <c r="D397" s="12" t="inlineStr">
        <is>
          <t>Claude: CTO buying questions</t>
        </is>
      </c>
      <c r="E397" s="12" t="inlineStr">
        <is>
          <t>Pricing</t>
        </is>
      </c>
      <c r="F397" s="13" t="n"/>
      <c r="G397" s="13" t="n"/>
      <c r="H397" s="14" t="n"/>
      <c r="I397" s="12" t="inlineStr">
        <is>
          <t>Transactional</t>
        </is>
      </c>
      <c r="J397" s="15" t="n">
        <v>3</v>
      </c>
      <c r="K397" s="16">
        <f>IF(I397="","",IF(I397="Transactional",3,IF(I397="Commercial",2,1)))</f>
        <v/>
      </c>
      <c r="L397" s="16">
        <f>IF(G397="","",IF(G397&lt;=20,3,IF(G397&lt;=50,2,1)))</f>
        <v/>
      </c>
      <c r="M397" s="16">
        <f>IF(OR(J397="",K397="",L397=""),"",J397+K397+L397)</f>
        <v/>
      </c>
      <c r="N397" s="11" t="inlineStr">
        <is>
          <t>FAQ</t>
        </is>
      </c>
      <c r="O397" s="12" t="inlineStr">
        <is>
          <t>/pricing</t>
        </is>
      </c>
      <c r="P397" s="12" t="inlineStr">
        <is>
          <t>Solution</t>
        </is>
      </c>
      <c r="Q397" s="14" t="n"/>
      <c r="R397" s="14" t="n"/>
      <c r="S397" s="14" t="n"/>
      <c r="T397" s="12" t="inlineStr">
        <is>
          <t>Not started</t>
        </is>
      </c>
      <c r="U397" s="12" t="inlineStr">
        <is>
          <t>AI-generated idea: confirm real demand (Google, Reddit) before writing a page for it</t>
        </is>
      </c>
    </row>
    <row r="398">
      <c r="A398" s="11" t="n">
        <v>397</v>
      </c>
      <c r="B398" s="12" t="inlineStr">
        <is>
          <t>What does a pilot of an AI coding analytics tool look like?</t>
        </is>
      </c>
      <c r="C398" s="17" t="inlineStr">
        <is>
          <t>AEO</t>
        </is>
      </c>
      <c r="D398" s="12" t="inlineStr">
        <is>
          <t>Claude: CTO buying questions</t>
        </is>
      </c>
      <c r="E398" s="12" t="inlineStr">
        <is>
          <t>Pricing</t>
        </is>
      </c>
      <c r="F398" s="13" t="n"/>
      <c r="G398" s="13" t="n"/>
      <c r="H398" s="14" t="n"/>
      <c r="I398" s="12" t="inlineStr">
        <is>
          <t>Transactional</t>
        </is>
      </c>
      <c r="J398" s="15" t="n">
        <v>3</v>
      </c>
      <c r="K398" s="16">
        <f>IF(I398="","",IF(I398="Transactional",3,IF(I398="Commercial",2,1)))</f>
        <v/>
      </c>
      <c r="L398" s="16">
        <f>IF(G398="","",IF(G398&lt;=20,3,IF(G398&lt;=50,2,1)))</f>
        <v/>
      </c>
      <c r="M398" s="16">
        <f>IF(OR(J398="",K398="",L398=""),"",J398+K398+L398)</f>
        <v/>
      </c>
      <c r="N398" s="11" t="inlineStr">
        <is>
          <t>FAQ</t>
        </is>
      </c>
      <c r="O398" s="12" t="inlineStr">
        <is>
          <t>/pricing</t>
        </is>
      </c>
      <c r="P398" s="12" t="inlineStr">
        <is>
          <t>Solution</t>
        </is>
      </c>
      <c r="Q398" s="14" t="n"/>
      <c r="R398" s="14" t="n"/>
      <c r="S398" s="14" t="n"/>
      <c r="T398" s="12" t="inlineStr">
        <is>
          <t>Not started</t>
        </is>
      </c>
      <c r="U398" s="12" t="inlineStr">
        <is>
          <t>AI-generated idea: confirm real demand (Google, Reddit) before writing a page for it</t>
        </is>
      </c>
    </row>
    <row r="399">
      <c r="A399" s="11" t="n">
        <v>398</v>
      </c>
      <c r="B399" s="12" t="inlineStr">
        <is>
          <t>How can we prove ROI on AI coding tools?</t>
        </is>
      </c>
      <c r="C399" s="17" t="inlineStr">
        <is>
          <t>AEO</t>
        </is>
      </c>
      <c r="D399" s="12" t="inlineStr">
        <is>
          <t>Claude: CTO buying questions</t>
        </is>
      </c>
      <c r="E399" s="12" t="inlineStr">
        <is>
          <t>Cost</t>
        </is>
      </c>
      <c r="F399" s="13" t="n"/>
      <c r="G399" s="13" t="n"/>
      <c r="H399" s="14" t="n"/>
      <c r="I399" s="12" t="inlineStr">
        <is>
          <t>Commercial</t>
        </is>
      </c>
      <c r="J399" s="15" t="n">
        <v>3</v>
      </c>
      <c r="K399" s="16">
        <f>IF(I399="","",IF(I399="Transactional",3,IF(I399="Commercial",2,1)))</f>
        <v/>
      </c>
      <c r="L399" s="16">
        <f>IF(G399="","",IF(G399&lt;=20,3,IF(G399&lt;=50,2,1)))</f>
        <v/>
      </c>
      <c r="M399" s="16">
        <f>IF(OR(J399="",K399="",L399=""),"",J399+K399+L399)</f>
        <v/>
      </c>
      <c r="N399" s="11" t="inlineStr">
        <is>
          <t>FAQ</t>
        </is>
      </c>
      <c r="O399" s="12" t="inlineStr">
        <is>
          <t>/blog/ai-coding-roi</t>
        </is>
      </c>
      <c r="P399" s="12" t="inlineStr">
        <is>
          <t>Interactive guide</t>
        </is>
      </c>
      <c r="Q399" s="14" t="n"/>
      <c r="R399" s="14" t="n"/>
      <c r="S399" s="14" t="n"/>
      <c r="T399" s="12" t="inlineStr">
        <is>
          <t>Not started</t>
        </is>
      </c>
      <c r="U399" s="12" t="inlineStr">
        <is>
          <t>AI-generated idea: confirm real demand (Google, Reddit) before writing a page for it</t>
        </is>
      </c>
    </row>
    <row r="400">
      <c r="A400" s="11" t="n">
        <v>399</v>
      </c>
      <c r="B400" s="12" t="inlineStr">
        <is>
          <t>ai coding tools cost per developer</t>
        </is>
      </c>
      <c r="C400" s="11" t="inlineStr">
        <is>
          <t>SEO</t>
        </is>
      </c>
      <c r="D400" s="12" t="inlineStr">
        <is>
          <t>Claude: spend search phrases</t>
        </is>
      </c>
      <c r="E400" s="12" t="inlineStr">
        <is>
          <t>Cost</t>
        </is>
      </c>
      <c r="F400" s="13" t="n"/>
      <c r="G400" s="13" t="n"/>
      <c r="H400" s="14" t="n"/>
      <c r="I400" s="12" t="inlineStr">
        <is>
          <t>Commercial</t>
        </is>
      </c>
      <c r="J400" s="15" t="n">
        <v>3</v>
      </c>
      <c r="K400" s="16">
        <f>IF(I400="","",IF(I400="Transactional",3,IF(I400="Commercial",2,1)))</f>
        <v/>
      </c>
      <c r="L400" s="16">
        <f>IF(G400="","",IF(G400&lt;=20,3,IF(G400&lt;=50,2,1)))</f>
        <v/>
      </c>
      <c r="M400" s="16">
        <f>IF(OR(J400="",K400="",L400=""),"",J400+K400+L400)</f>
        <v/>
      </c>
      <c r="N400" s="11" t="inlineStr">
        <is>
          <t>Secondary</t>
        </is>
      </c>
      <c r="O400" s="12" t="inlineStr">
        <is>
          <t>/ai-cost-tracking</t>
        </is>
      </c>
      <c r="P400" s="12" t="inlineStr">
        <is>
          <t>Interactive guide</t>
        </is>
      </c>
      <c r="Q400" s="14" t="n"/>
      <c r="R400" s="14" t="n"/>
      <c r="S400" s="14" t="n"/>
      <c r="T400" s="12" t="inlineStr">
        <is>
          <t>Not started</t>
        </is>
      </c>
      <c r="U400" s="12" t="inlineStr">
        <is>
          <t>AI-generated idea: confirm real demand (Google, Reddit) before writing a page for it</t>
        </is>
      </c>
    </row>
    <row r="401">
      <c r="A401" s="11" t="n">
        <v>400</v>
      </c>
      <c r="B401" s="12" t="inlineStr">
        <is>
          <t>ai coding assistant spend tracking</t>
        </is>
      </c>
      <c r="C401" s="11" t="inlineStr">
        <is>
          <t>SEO</t>
        </is>
      </c>
      <c r="D401" s="12" t="inlineStr">
        <is>
          <t>Claude: spend search phrases</t>
        </is>
      </c>
      <c r="E401" s="12" t="inlineStr">
        <is>
          <t>Cost</t>
        </is>
      </c>
      <c r="F401" s="13" t="n"/>
      <c r="G401" s="13" t="n"/>
      <c r="H401" s="14" t="n"/>
      <c r="I401" s="12" t="inlineStr">
        <is>
          <t>Commercial</t>
        </is>
      </c>
      <c r="J401" s="15" t="n">
        <v>3</v>
      </c>
      <c r="K401" s="16">
        <f>IF(I401="","",IF(I401="Transactional",3,IF(I401="Commercial",2,1)))</f>
        <v/>
      </c>
      <c r="L401" s="16">
        <f>IF(G401="","",IF(G401&lt;=20,3,IF(G401&lt;=50,2,1)))</f>
        <v/>
      </c>
      <c r="M401" s="16">
        <f>IF(OR(J401="",K401="",L401=""),"",J401+K401+L401)</f>
        <v/>
      </c>
      <c r="N401" s="11" t="inlineStr">
        <is>
          <t>Secondary</t>
        </is>
      </c>
      <c r="O401" s="12" t="inlineStr">
        <is>
          <t>/ai-cost-tracking</t>
        </is>
      </c>
      <c r="P401" s="12" t="inlineStr">
        <is>
          <t>Interactive guide</t>
        </is>
      </c>
      <c r="Q401" s="14" t="n"/>
      <c r="R401" s="14" t="n"/>
      <c r="S401" s="14" t="n"/>
      <c r="T401" s="12" t="inlineStr">
        <is>
          <t>Not started</t>
        </is>
      </c>
      <c r="U401" s="12" t="inlineStr">
        <is>
          <t>AI-generated idea: confirm real demand (Google, Reddit) before writing a page for it</t>
        </is>
      </c>
    </row>
    <row r="402">
      <c r="A402" s="11" t="n">
        <v>401</v>
      </c>
      <c r="B402" s="12" t="inlineStr">
        <is>
          <t>ai tool spend dashboard</t>
        </is>
      </c>
      <c r="C402" s="11" t="inlineStr">
        <is>
          <t>SEO</t>
        </is>
      </c>
      <c r="D402" s="12" t="inlineStr">
        <is>
          <t>Claude: spend search phrases</t>
        </is>
      </c>
      <c r="E402" s="12" t="inlineStr">
        <is>
          <t>Cost</t>
        </is>
      </c>
      <c r="F402" s="13" t="n"/>
      <c r="G402" s="13" t="n"/>
      <c r="H402" s="14" t="n"/>
      <c r="I402" s="12" t="inlineStr">
        <is>
          <t>Commercial</t>
        </is>
      </c>
      <c r="J402" s="15" t="n">
        <v>3</v>
      </c>
      <c r="K402" s="16">
        <f>IF(I402="","",IF(I402="Transactional",3,IF(I402="Commercial",2,1)))</f>
        <v/>
      </c>
      <c r="L402" s="16">
        <f>IF(G402="","",IF(G402&lt;=20,3,IF(G402&lt;=50,2,1)))</f>
        <v/>
      </c>
      <c r="M402" s="16">
        <f>IF(OR(J402="",K402="",L402=""),"",J402+K402+L402)</f>
        <v/>
      </c>
      <c r="N402" s="11" t="inlineStr">
        <is>
          <t>Secondary</t>
        </is>
      </c>
      <c r="O402" s="12" t="inlineStr">
        <is>
          <t>/ai-cost-tracking</t>
        </is>
      </c>
      <c r="P402" s="12" t="inlineStr">
        <is>
          <t>Interactive guide</t>
        </is>
      </c>
      <c r="Q402" s="14" t="n"/>
      <c r="R402" s="14" t="n"/>
      <c r="S402" s="14" t="n"/>
      <c r="T402" s="12" t="inlineStr">
        <is>
          <t>Not started</t>
        </is>
      </c>
      <c r="U402" s="12" t="inlineStr">
        <is>
          <t>AI-generated idea: confirm real demand (Google, Reddit) before writing a page for it</t>
        </is>
      </c>
    </row>
    <row r="403">
      <c r="A403" s="11" t="n">
        <v>402</v>
      </c>
      <c r="B403" s="12" t="inlineStr">
        <is>
          <t>llm cost per developer</t>
        </is>
      </c>
      <c r="C403" s="11" t="inlineStr">
        <is>
          <t>SEO</t>
        </is>
      </c>
      <c r="D403" s="12" t="inlineStr">
        <is>
          <t>Claude: spend search phrases</t>
        </is>
      </c>
      <c r="E403" s="12" t="inlineStr">
        <is>
          <t>Cost</t>
        </is>
      </c>
      <c r="F403" s="13" t="n"/>
      <c r="G403" s="13" t="n"/>
      <c r="H403" s="14" t="n"/>
      <c r="I403" s="12" t="inlineStr">
        <is>
          <t>Commercial</t>
        </is>
      </c>
      <c r="J403" s="15" t="n">
        <v>3</v>
      </c>
      <c r="K403" s="16">
        <f>IF(I403="","",IF(I403="Transactional",3,IF(I403="Commercial",2,1)))</f>
        <v/>
      </c>
      <c r="L403" s="16">
        <f>IF(G403="","",IF(G403&lt;=20,3,IF(G403&lt;=50,2,1)))</f>
        <v/>
      </c>
      <c r="M403" s="16">
        <f>IF(OR(J403="",K403="",L403=""),"",J403+K403+L403)</f>
        <v/>
      </c>
      <c r="N403" s="11" t="inlineStr">
        <is>
          <t>Secondary</t>
        </is>
      </c>
      <c r="O403" s="12" t="inlineStr">
        <is>
          <t>/ai-cost-tracking</t>
        </is>
      </c>
      <c r="P403" s="12" t="inlineStr">
        <is>
          <t>Interactive guide</t>
        </is>
      </c>
      <c r="Q403" s="14" t="n"/>
      <c r="R403" s="14" t="n"/>
      <c r="S403" s="14" t="n"/>
      <c r="T403" s="12" t="inlineStr">
        <is>
          <t>Not started</t>
        </is>
      </c>
      <c r="U403" s="12" t="inlineStr">
        <is>
          <t>AI-generated idea: confirm real demand (Google, Reddit) before writing a page for it</t>
        </is>
      </c>
    </row>
    <row r="404">
      <c r="A404" s="11" t="n">
        <v>403</v>
      </c>
      <c r="B404" s="12" t="inlineStr">
        <is>
          <t>token cost tracking dashboard</t>
        </is>
      </c>
      <c r="C404" s="11" t="inlineStr">
        <is>
          <t>SEO</t>
        </is>
      </c>
      <c r="D404" s="12" t="inlineStr">
        <is>
          <t>Claude: spend search phrases</t>
        </is>
      </c>
      <c r="E404" s="12" t="inlineStr">
        <is>
          <t>Cost</t>
        </is>
      </c>
      <c r="F404" s="13" t="n"/>
      <c r="G404" s="13" t="n"/>
      <c r="H404" s="14" t="n"/>
      <c r="I404" s="12" t="inlineStr">
        <is>
          <t>Commercial</t>
        </is>
      </c>
      <c r="J404" s="15" t="n">
        <v>3</v>
      </c>
      <c r="K404" s="16">
        <f>IF(I404="","",IF(I404="Transactional",3,IF(I404="Commercial",2,1)))</f>
        <v/>
      </c>
      <c r="L404" s="16">
        <f>IF(G404="","",IF(G404&lt;=20,3,IF(G404&lt;=50,2,1)))</f>
        <v/>
      </c>
      <c r="M404" s="16">
        <f>IF(OR(J404="",K404="",L404=""),"",J404+K404+L404)</f>
        <v/>
      </c>
      <c r="N404" s="11" t="inlineStr">
        <is>
          <t>Secondary</t>
        </is>
      </c>
      <c r="O404" s="12" t="inlineStr">
        <is>
          <t>/ai-cost-tracking</t>
        </is>
      </c>
      <c r="P404" s="12" t="inlineStr">
        <is>
          <t>Interactive guide</t>
        </is>
      </c>
      <c r="Q404" s="14" t="n"/>
      <c r="R404" s="14" t="n"/>
      <c r="S404" s="14" t="n"/>
      <c r="T404" s="12" t="inlineStr">
        <is>
          <t>Not started</t>
        </is>
      </c>
      <c r="U404" s="12" t="inlineStr">
        <is>
          <t>AI-generated idea: confirm real demand (Google, Reddit) before writing a page for it</t>
        </is>
      </c>
    </row>
    <row r="405">
      <c r="A405" s="11" t="n">
        <v>404</v>
      </c>
      <c r="B405" s="12" t="inlineStr">
        <is>
          <t>engineering ai spend report</t>
        </is>
      </c>
      <c r="C405" s="11" t="inlineStr">
        <is>
          <t>SEO</t>
        </is>
      </c>
      <c r="D405" s="12" t="inlineStr">
        <is>
          <t>Claude: spend search phrases</t>
        </is>
      </c>
      <c r="E405" s="12" t="inlineStr">
        <is>
          <t>Cost</t>
        </is>
      </c>
      <c r="F405" s="13" t="n"/>
      <c r="G405" s="13" t="n"/>
      <c r="H405" s="14" t="n"/>
      <c r="I405" s="12" t="inlineStr">
        <is>
          <t>Commercial</t>
        </is>
      </c>
      <c r="J405" s="15" t="n">
        <v>3</v>
      </c>
      <c r="K405" s="16">
        <f>IF(I405="","",IF(I405="Transactional",3,IF(I405="Commercial",2,1)))</f>
        <v/>
      </c>
      <c r="L405" s="16">
        <f>IF(G405="","",IF(G405&lt;=20,3,IF(G405&lt;=50,2,1)))</f>
        <v/>
      </c>
      <c r="M405" s="16">
        <f>IF(OR(J405="",K405="",L405=""),"",J405+K405+L405)</f>
        <v/>
      </c>
      <c r="N405" s="11" t="inlineStr">
        <is>
          <t>Secondary</t>
        </is>
      </c>
      <c r="O405" s="12" t="inlineStr">
        <is>
          <t>/ai-cost-tracking</t>
        </is>
      </c>
      <c r="P405" s="12" t="inlineStr">
        <is>
          <t>Interactive guide</t>
        </is>
      </c>
      <c r="Q405" s="14" t="n"/>
      <c r="R405" s="14" t="n"/>
      <c r="S405" s="14" t="n"/>
      <c r="T405" s="12" t="inlineStr">
        <is>
          <t>Not started</t>
        </is>
      </c>
      <c r="U405" s="12" t="inlineStr">
        <is>
          <t>AI-generated idea: confirm real demand (Google, Reddit) before writing a page for it</t>
        </is>
      </c>
    </row>
    <row r="406">
      <c r="A406" s="11" t="n">
        <v>405</v>
      </c>
      <c r="B406" s="12" t="inlineStr">
        <is>
          <t>ai coding spend by project</t>
        </is>
      </c>
      <c r="C406" s="11" t="inlineStr">
        <is>
          <t>SEO</t>
        </is>
      </c>
      <c r="D406" s="12" t="inlineStr">
        <is>
          <t>Claude: spend search phrases</t>
        </is>
      </c>
      <c r="E406" s="12" t="inlineStr">
        <is>
          <t>Cost</t>
        </is>
      </c>
      <c r="F406" s="13" t="n"/>
      <c r="G406" s="13" t="n"/>
      <c r="H406" s="14" t="n"/>
      <c r="I406" s="12" t="inlineStr">
        <is>
          <t>Commercial</t>
        </is>
      </c>
      <c r="J406" s="15" t="n">
        <v>3</v>
      </c>
      <c r="K406" s="16">
        <f>IF(I406="","",IF(I406="Transactional",3,IF(I406="Commercial",2,1)))</f>
        <v/>
      </c>
      <c r="L406" s="16">
        <f>IF(G406="","",IF(G406&lt;=20,3,IF(G406&lt;=50,2,1)))</f>
        <v/>
      </c>
      <c r="M406" s="16">
        <f>IF(OR(J406="",K406="",L406=""),"",J406+K406+L406)</f>
        <v/>
      </c>
      <c r="N406" s="11" t="inlineStr">
        <is>
          <t>Secondary</t>
        </is>
      </c>
      <c r="O406" s="12" t="inlineStr">
        <is>
          <t>/ai-cost-tracking</t>
        </is>
      </c>
      <c r="P406" s="12" t="inlineStr">
        <is>
          <t>Interactive guide</t>
        </is>
      </c>
      <c r="Q406" s="14" t="n"/>
      <c r="R406" s="14" t="n"/>
      <c r="S406" s="14" t="n"/>
      <c r="T406" s="12" t="inlineStr">
        <is>
          <t>Not started</t>
        </is>
      </c>
      <c r="U406" s="12" t="inlineStr">
        <is>
          <t>AI-generated idea: confirm real demand (Google, Reddit) before writing a page for it</t>
        </is>
      </c>
    </row>
    <row r="407">
      <c r="A407" s="11" t="n">
        <v>406</v>
      </c>
      <c r="B407" s="12" t="inlineStr">
        <is>
          <t>ai cost allocation per team</t>
        </is>
      </c>
      <c r="C407" s="11" t="inlineStr">
        <is>
          <t>SEO</t>
        </is>
      </c>
      <c r="D407" s="12" t="inlineStr">
        <is>
          <t>Claude: spend search phrases</t>
        </is>
      </c>
      <c r="E407" s="12" t="inlineStr">
        <is>
          <t>Cost</t>
        </is>
      </c>
      <c r="F407" s="13" t="n"/>
      <c r="G407" s="13" t="n"/>
      <c r="H407" s="14" t="n"/>
      <c r="I407" s="12" t="inlineStr">
        <is>
          <t>Commercial</t>
        </is>
      </c>
      <c r="J407" s="15" t="n">
        <v>3</v>
      </c>
      <c r="K407" s="16">
        <f>IF(I407="","",IF(I407="Transactional",3,IF(I407="Commercial",2,1)))</f>
        <v/>
      </c>
      <c r="L407" s="16">
        <f>IF(G407="","",IF(G407&lt;=20,3,IF(G407&lt;=50,2,1)))</f>
        <v/>
      </c>
      <c r="M407" s="16">
        <f>IF(OR(J407="",K407="",L407=""),"",J407+K407+L407)</f>
        <v/>
      </c>
      <c r="N407" s="11" t="inlineStr">
        <is>
          <t>Secondary</t>
        </is>
      </c>
      <c r="O407" s="12" t="inlineStr">
        <is>
          <t>/ai-cost-tracking</t>
        </is>
      </c>
      <c r="P407" s="12" t="inlineStr">
        <is>
          <t>Interactive guide</t>
        </is>
      </c>
      <c r="Q407" s="14" t="n"/>
      <c r="R407" s="14" t="n"/>
      <c r="S407" s="14" t="n"/>
      <c r="T407" s="12" t="inlineStr">
        <is>
          <t>Not started</t>
        </is>
      </c>
      <c r="U407" s="12" t="inlineStr">
        <is>
          <t>AI-generated idea: confirm real demand (Google, Reddit) before writing a page for it</t>
        </is>
      </c>
    </row>
    <row r="408">
      <c r="A408" s="11" t="n">
        <v>407</v>
      </c>
      <c r="B408" s="12" t="inlineStr">
        <is>
          <t>ai tool chargeback engineering</t>
        </is>
      </c>
      <c r="C408" s="11" t="inlineStr">
        <is>
          <t>SEO</t>
        </is>
      </c>
      <c r="D408" s="12" t="inlineStr">
        <is>
          <t>Claude: spend search phrases</t>
        </is>
      </c>
      <c r="E408" s="12" t="inlineStr">
        <is>
          <t>Cost</t>
        </is>
      </c>
      <c r="F408" s="13" t="n"/>
      <c r="G408" s="13" t="n"/>
      <c r="H408" s="14" t="n"/>
      <c r="I408" s="12" t="inlineStr">
        <is>
          <t>Commercial</t>
        </is>
      </c>
      <c r="J408" s="15" t="n">
        <v>3</v>
      </c>
      <c r="K408" s="16">
        <f>IF(I408="","",IF(I408="Transactional",3,IF(I408="Commercial",2,1)))</f>
        <v/>
      </c>
      <c r="L408" s="16">
        <f>IF(G408="","",IF(G408&lt;=20,3,IF(G408&lt;=50,2,1)))</f>
        <v/>
      </c>
      <c r="M408" s="16">
        <f>IF(OR(J408="",K408="",L408=""),"",J408+K408+L408)</f>
        <v/>
      </c>
      <c r="N408" s="11" t="inlineStr">
        <is>
          <t>Secondary</t>
        </is>
      </c>
      <c r="O408" s="12" t="inlineStr">
        <is>
          <t>/ai-cost-tracking</t>
        </is>
      </c>
      <c r="P408" s="12" t="inlineStr">
        <is>
          <t>Interactive guide</t>
        </is>
      </c>
      <c r="Q408" s="14" t="n"/>
      <c r="R408" s="14" t="n"/>
      <c r="S408" s="14" t="n"/>
      <c r="T408" s="12" t="inlineStr">
        <is>
          <t>Not started</t>
        </is>
      </c>
      <c r="U408" s="12" t="inlineStr">
        <is>
          <t>AI-generated idea: confirm real demand (Google, Reddit) before writing a page for it</t>
        </is>
      </c>
    </row>
    <row r="409">
      <c r="A409" s="11" t="n">
        <v>408</v>
      </c>
      <c r="B409" s="12" t="inlineStr">
        <is>
          <t>billable ai usage for clients</t>
        </is>
      </c>
      <c r="C409" s="11" t="inlineStr">
        <is>
          <t>SEO</t>
        </is>
      </c>
      <c r="D409" s="12" t="inlineStr">
        <is>
          <t>Claude: spend search phrases</t>
        </is>
      </c>
      <c r="E409" s="12" t="inlineStr">
        <is>
          <t>Cost</t>
        </is>
      </c>
      <c r="F409" s="13" t="n"/>
      <c r="G409" s="13" t="n"/>
      <c r="H409" s="14" t="n"/>
      <c r="I409" s="12" t="inlineStr">
        <is>
          <t>Commercial</t>
        </is>
      </c>
      <c r="J409" s="15" t="n">
        <v>3</v>
      </c>
      <c r="K409" s="16">
        <f>IF(I409="","",IF(I409="Transactional",3,IF(I409="Commercial",2,1)))</f>
        <v/>
      </c>
      <c r="L409" s="16">
        <f>IF(G409="","",IF(G409&lt;=20,3,IF(G409&lt;=50,2,1)))</f>
        <v/>
      </c>
      <c r="M409" s="16">
        <f>IF(OR(J409="",K409="",L409=""),"",J409+K409+L409)</f>
        <v/>
      </c>
      <c r="N409" s="11" t="inlineStr">
        <is>
          <t>Secondary</t>
        </is>
      </c>
      <c r="O409" s="12" t="inlineStr">
        <is>
          <t>/ai-cost-tracking</t>
        </is>
      </c>
      <c r="P409" s="12" t="inlineStr">
        <is>
          <t>Interactive guide</t>
        </is>
      </c>
      <c r="Q409" s="14" t="n"/>
      <c r="R409" s="14" t="n"/>
      <c r="S409" s="14" t="n"/>
      <c r="T409" s="12" t="inlineStr">
        <is>
          <t>Not started</t>
        </is>
      </c>
      <c r="U409" s="12" t="inlineStr">
        <is>
          <t>AI-generated idea: confirm real demand (Google, Reddit) before writing a page for it</t>
        </is>
      </c>
    </row>
    <row r="410">
      <c r="A410" s="11" t="n">
        <v>409</v>
      </c>
      <c r="B410" s="12" t="inlineStr">
        <is>
          <t>track ai subscriptions engineering</t>
        </is>
      </c>
      <c r="C410" s="11" t="inlineStr">
        <is>
          <t>SEO</t>
        </is>
      </c>
      <c r="D410" s="12" t="inlineStr">
        <is>
          <t>Claude: spend search phrases</t>
        </is>
      </c>
      <c r="E410" s="12" t="inlineStr">
        <is>
          <t>Cost</t>
        </is>
      </c>
      <c r="F410" s="13" t="n"/>
      <c r="G410" s="13" t="n"/>
      <c r="H410" s="14" t="n"/>
      <c r="I410" s="12" t="inlineStr">
        <is>
          <t>Commercial</t>
        </is>
      </c>
      <c r="J410" s="15" t="n">
        <v>3</v>
      </c>
      <c r="K410" s="16">
        <f>IF(I410="","",IF(I410="Transactional",3,IF(I410="Commercial",2,1)))</f>
        <v/>
      </c>
      <c r="L410" s="16">
        <f>IF(G410="","",IF(G410&lt;=20,3,IF(G410&lt;=50,2,1)))</f>
        <v/>
      </c>
      <c r="M410" s="16">
        <f>IF(OR(J410="",K410="",L410=""),"",J410+K410+L410)</f>
        <v/>
      </c>
      <c r="N410" s="11" t="inlineStr">
        <is>
          <t>Secondary</t>
        </is>
      </c>
      <c r="O410" s="12" t="inlineStr">
        <is>
          <t>/ai-cost-tracking</t>
        </is>
      </c>
      <c r="P410" s="12" t="inlineStr">
        <is>
          <t>Interactive guide</t>
        </is>
      </c>
      <c r="Q410" s="14" t="n"/>
      <c r="R410" s="14" t="n"/>
      <c r="S410" s="14" t="n"/>
      <c r="T410" s="12" t="inlineStr">
        <is>
          <t>Not started</t>
        </is>
      </c>
      <c r="U410" s="12" t="inlineStr">
        <is>
          <t>AI-generated idea: confirm real demand (Google, Reddit) before writing a page for it</t>
        </is>
      </c>
    </row>
    <row r="411">
      <c r="A411" s="11" t="n">
        <v>410</v>
      </c>
      <c r="B411" s="12" t="inlineStr">
        <is>
          <t>how much do ai coding tools cost a team</t>
        </is>
      </c>
      <c r="C411" s="11" t="inlineStr">
        <is>
          <t>SEO</t>
        </is>
      </c>
      <c r="D411" s="12" t="inlineStr">
        <is>
          <t>Claude: spend search phrases</t>
        </is>
      </c>
      <c r="E411" s="12" t="inlineStr">
        <is>
          <t>Cost</t>
        </is>
      </c>
      <c r="F411" s="13" t="n"/>
      <c r="G411" s="13" t="n"/>
      <c r="H411" s="14" t="n"/>
      <c r="I411" s="12" t="inlineStr">
        <is>
          <t>Informational</t>
        </is>
      </c>
      <c r="J411" s="15" t="n">
        <v>2</v>
      </c>
      <c r="K411" s="16">
        <f>IF(I411="","",IF(I411="Transactional",3,IF(I411="Commercial",2,1)))</f>
        <v/>
      </c>
      <c r="L411" s="16">
        <f>IF(G411="","",IF(G411&lt;=20,3,IF(G411&lt;=50,2,1)))</f>
        <v/>
      </c>
      <c r="M411" s="16">
        <f>IF(OR(J411="",K411="",L411=""),"",J411+K411+L411)</f>
        <v/>
      </c>
      <c r="N411" s="11" t="inlineStr">
        <is>
          <t>Secondary</t>
        </is>
      </c>
      <c r="O411" s="12" t="inlineStr">
        <is>
          <t>/ai-cost-tracking</t>
        </is>
      </c>
      <c r="P411" s="12" t="inlineStr">
        <is>
          <t>Interactive guide</t>
        </is>
      </c>
      <c r="Q411" s="14" t="n"/>
      <c r="R411" s="14" t="n"/>
      <c r="S411" s="14" t="n"/>
      <c r="T411" s="12" t="inlineStr">
        <is>
          <t>Not started</t>
        </is>
      </c>
      <c r="U411" s="12" t="inlineStr">
        <is>
          <t>AI-generated idea: confirm real demand (Google, Reddit) before writing a page for it</t>
        </is>
      </c>
    </row>
    <row r="412">
      <c r="A412" s="11" t="n">
        <v>411</v>
      </c>
      <c r="B412" s="12" t="inlineStr">
        <is>
          <t>ai coding budget per engineer</t>
        </is>
      </c>
      <c r="C412" s="11" t="inlineStr">
        <is>
          <t>SEO</t>
        </is>
      </c>
      <c r="D412" s="12" t="inlineStr">
        <is>
          <t>Claude: spend search phrases</t>
        </is>
      </c>
      <c r="E412" s="12" t="inlineStr">
        <is>
          <t>Cost</t>
        </is>
      </c>
      <c r="F412" s="13" t="n"/>
      <c r="G412" s="13" t="n"/>
      <c r="H412" s="14" t="n"/>
      <c r="I412" s="12" t="inlineStr">
        <is>
          <t>Informational</t>
        </is>
      </c>
      <c r="J412" s="15" t="n">
        <v>2</v>
      </c>
      <c r="K412" s="16">
        <f>IF(I412="","",IF(I412="Transactional",3,IF(I412="Commercial",2,1)))</f>
        <v/>
      </c>
      <c r="L412" s="16">
        <f>IF(G412="","",IF(G412&lt;=20,3,IF(G412&lt;=50,2,1)))</f>
        <v/>
      </c>
      <c r="M412" s="16">
        <f>IF(OR(J412="",K412="",L412=""),"",J412+K412+L412)</f>
        <v/>
      </c>
      <c r="N412" s="11" t="inlineStr">
        <is>
          <t>Secondary</t>
        </is>
      </c>
      <c r="O412" s="12" t="inlineStr">
        <is>
          <t>/ai-cost-tracking</t>
        </is>
      </c>
      <c r="P412" s="12" t="inlineStr">
        <is>
          <t>Interactive guide</t>
        </is>
      </c>
      <c r="Q412" s="14" t="n"/>
      <c r="R412" s="14" t="n"/>
      <c r="S412" s="14" t="n"/>
      <c r="T412" s="12" t="inlineStr">
        <is>
          <t>Not started</t>
        </is>
      </c>
      <c r="U412" s="12" t="inlineStr">
        <is>
          <t>AI-generated idea: confirm real demand (Google, Reddit) before writing a page for it</t>
        </is>
      </c>
    </row>
    <row r="413">
      <c r="A413" s="11" t="n">
        <v>412</v>
      </c>
      <c r="B413" s="12" t="inlineStr">
        <is>
          <t>ai coding tools roi calculator</t>
        </is>
      </c>
      <c r="C413" s="11" t="inlineStr">
        <is>
          <t>SEO</t>
        </is>
      </c>
      <c r="D413" s="12" t="inlineStr">
        <is>
          <t>Claude: spend search phrases</t>
        </is>
      </c>
      <c r="E413" s="12" t="inlineStr">
        <is>
          <t>Cost</t>
        </is>
      </c>
      <c r="F413" s="13" t="n"/>
      <c r="G413" s="13" t="n"/>
      <c r="H413" s="14" t="n"/>
      <c r="I413" s="12" t="inlineStr">
        <is>
          <t>Informational</t>
        </is>
      </c>
      <c r="J413" s="15" t="n">
        <v>2</v>
      </c>
      <c r="K413" s="16">
        <f>IF(I413="","",IF(I413="Transactional",3,IF(I413="Commercial",2,1)))</f>
        <v/>
      </c>
      <c r="L413" s="16">
        <f>IF(G413="","",IF(G413&lt;=20,3,IF(G413&lt;=50,2,1)))</f>
        <v/>
      </c>
      <c r="M413" s="16">
        <f>IF(OR(J413="",K413="",L413=""),"",J413+K413+L413)</f>
        <v/>
      </c>
      <c r="N413" s="11" t="inlineStr">
        <is>
          <t>Secondary</t>
        </is>
      </c>
      <c r="O413" s="12" t="inlineStr">
        <is>
          <t>/blog/ai-coding-roi</t>
        </is>
      </c>
      <c r="P413" s="12" t="inlineStr">
        <is>
          <t>Interactive guide</t>
        </is>
      </c>
      <c r="Q413" s="14" t="n"/>
      <c r="R413" s="14" t="n"/>
      <c r="S413" s="14" t="n"/>
      <c r="T413" s="12" t="inlineStr">
        <is>
          <t>Not started</t>
        </is>
      </c>
      <c r="U413" s="12" t="inlineStr">
        <is>
          <t>AI-generated idea: confirm real demand (Google, Reddit) before writing a page for it</t>
        </is>
      </c>
    </row>
    <row r="414">
      <c r="A414" s="11" t="n">
        <v>413</v>
      </c>
      <c r="B414" s="12" t="inlineStr">
        <is>
          <t>reduce ai coding costs</t>
        </is>
      </c>
      <c r="C414" s="11" t="inlineStr">
        <is>
          <t>SEO</t>
        </is>
      </c>
      <c r="D414" s="12" t="inlineStr">
        <is>
          <t>Claude: spend search phrases</t>
        </is>
      </c>
      <c r="E414" s="12" t="inlineStr">
        <is>
          <t>Cost</t>
        </is>
      </c>
      <c r="F414" s="13" t="n"/>
      <c r="G414" s="13" t="n"/>
      <c r="H414" s="14" t="n"/>
      <c r="I414" s="12" t="inlineStr">
        <is>
          <t>Informational</t>
        </is>
      </c>
      <c r="J414" s="15" t="n">
        <v>2</v>
      </c>
      <c r="K414" s="16">
        <f>IF(I414="","",IF(I414="Transactional",3,IF(I414="Commercial",2,1)))</f>
        <v/>
      </c>
      <c r="L414" s="16">
        <f>IF(G414="","",IF(G414&lt;=20,3,IF(G414&lt;=50,2,1)))</f>
        <v/>
      </c>
      <c r="M414" s="16">
        <f>IF(OR(J414="",K414="",L414=""),"",J414+K414+L414)</f>
        <v/>
      </c>
      <c r="N414" s="11" t="inlineStr">
        <is>
          <t>Secondary</t>
        </is>
      </c>
      <c r="O414" s="12" t="inlineStr">
        <is>
          <t>/blog/reduce-ai-coding-costs</t>
        </is>
      </c>
      <c r="P414" s="12" t="inlineStr">
        <is>
          <t>Blog</t>
        </is>
      </c>
      <c r="Q414" s="14" t="n"/>
      <c r="R414" s="14" t="n"/>
      <c r="S414" s="14" t="n"/>
      <c r="T414" s="12" t="inlineStr">
        <is>
          <t>Not started</t>
        </is>
      </c>
      <c r="U414" s="12" t="inlineStr">
        <is>
          <t>AI-generated idea: confirm real demand (Google, Reddit) before writing a page for it</t>
        </is>
      </c>
    </row>
    <row r="415">
      <c r="A415" s="11" t="n">
        <v>414</v>
      </c>
      <c r="B415" s="12" t="inlineStr">
        <is>
          <t>ai seat cost optimization</t>
        </is>
      </c>
      <c r="C415" s="11" t="inlineStr">
        <is>
          <t>SEO</t>
        </is>
      </c>
      <c r="D415" s="12" t="inlineStr">
        <is>
          <t>Claude: spend search phrases</t>
        </is>
      </c>
      <c r="E415" s="12" t="inlineStr">
        <is>
          <t>Cost</t>
        </is>
      </c>
      <c r="F415" s="13" t="n"/>
      <c r="G415" s="13" t="n"/>
      <c r="H415" s="14" t="n"/>
      <c r="I415" s="12" t="inlineStr">
        <is>
          <t>Informational</t>
        </is>
      </c>
      <c r="J415" s="15" t="n">
        <v>2</v>
      </c>
      <c r="K415" s="16">
        <f>IF(I415="","",IF(I415="Transactional",3,IF(I415="Commercial",2,1)))</f>
        <v/>
      </c>
      <c r="L415" s="16">
        <f>IF(G415="","",IF(G415&lt;=20,3,IF(G415&lt;=50,2,1)))</f>
        <v/>
      </c>
      <c r="M415" s="16">
        <f>IF(OR(J415="",K415="",L415=""),"",J415+K415+L415)</f>
        <v/>
      </c>
      <c r="N415" s="11" t="inlineStr">
        <is>
          <t>Secondary</t>
        </is>
      </c>
      <c r="O415" s="12" t="inlineStr">
        <is>
          <t>/blog/reduce-ai-coding-costs</t>
        </is>
      </c>
      <c r="P415" s="12" t="inlineStr">
        <is>
          <t>Blog</t>
        </is>
      </c>
      <c r="Q415" s="14" t="n"/>
      <c r="R415" s="14" t="n"/>
      <c r="S415" s="14" t="n"/>
      <c r="T415" s="12" t="inlineStr">
        <is>
          <t>Not started</t>
        </is>
      </c>
      <c r="U415" s="12" t="inlineStr">
        <is>
          <t>AI-generated idea: confirm real demand (Google, Reddit) before writing a page for it</t>
        </is>
      </c>
    </row>
    <row r="416">
      <c r="A416" s="11" t="n">
        <v>415</v>
      </c>
      <c r="B416" s="12" t="inlineStr">
        <is>
          <t>claude code team cost</t>
        </is>
      </c>
      <c r="C416" s="11" t="inlineStr">
        <is>
          <t>SEO</t>
        </is>
      </c>
      <c r="D416" s="12" t="inlineStr">
        <is>
          <t>Claude: spend search phrases</t>
        </is>
      </c>
      <c r="E416" s="12" t="inlineStr">
        <is>
          <t>Tool: Claude Code</t>
        </is>
      </c>
      <c r="F416" s="13" t="n"/>
      <c r="G416" s="13" t="n"/>
      <c r="H416" s="14" t="n"/>
      <c r="I416" s="12" t="inlineStr">
        <is>
          <t>Commercial</t>
        </is>
      </c>
      <c r="J416" s="15" t="n">
        <v>3</v>
      </c>
      <c r="K416" s="16">
        <f>IF(I416="","",IF(I416="Transactional",3,IF(I416="Commercial",2,1)))</f>
        <v/>
      </c>
      <c r="L416" s="16">
        <f>IF(G416="","",IF(G416&lt;=20,3,IF(G416&lt;=50,2,1)))</f>
        <v/>
      </c>
      <c r="M416" s="16">
        <f>IF(OR(J416="",K416="",L416=""),"",J416+K416+L416)</f>
        <v/>
      </c>
      <c r="N416" s="11" t="inlineStr">
        <is>
          <t>Secondary</t>
        </is>
      </c>
      <c r="O416" s="12" t="inlineStr">
        <is>
          <t>/integrations/claude-code</t>
        </is>
      </c>
      <c r="P416" s="12" t="inlineStr">
        <is>
          <t>Integration</t>
        </is>
      </c>
      <c r="Q416" s="14" t="n"/>
      <c r="R416" s="14" t="n"/>
      <c r="S416" s="14" t="n"/>
      <c r="T416" s="12" t="inlineStr">
        <is>
          <t>Not started</t>
        </is>
      </c>
      <c r="U416" s="12" t="inlineStr">
        <is>
          <t>AI-generated idea: confirm real demand (Google, Reddit) before writing a page for it</t>
        </is>
      </c>
    </row>
    <row r="417">
      <c r="A417" s="11" t="n">
        <v>416</v>
      </c>
      <c r="B417" s="12" t="inlineStr">
        <is>
          <t>cursor team billing</t>
        </is>
      </c>
      <c r="C417" s="11" t="inlineStr">
        <is>
          <t>SEO</t>
        </is>
      </c>
      <c r="D417" s="12" t="inlineStr">
        <is>
          <t>Claude: spend search phrases</t>
        </is>
      </c>
      <c r="E417" s="12" t="inlineStr">
        <is>
          <t>Tool: Cursor</t>
        </is>
      </c>
      <c r="F417" s="13" t="n"/>
      <c r="G417" s="13" t="n"/>
      <c r="H417" s="14" t="n"/>
      <c r="I417" s="12" t="inlineStr">
        <is>
          <t>Informational</t>
        </is>
      </c>
      <c r="J417" s="15" t="n">
        <v>2</v>
      </c>
      <c r="K417" s="16">
        <f>IF(I417="","",IF(I417="Transactional",3,IF(I417="Commercial",2,1)))</f>
        <v/>
      </c>
      <c r="L417" s="16">
        <f>IF(G417="","",IF(G417&lt;=20,3,IF(G417&lt;=50,2,1)))</f>
        <v/>
      </c>
      <c r="M417" s="16">
        <f>IF(OR(J417="",K417="",L417=""),"",J417+K417+L417)</f>
        <v/>
      </c>
      <c r="N417" s="11" t="inlineStr">
        <is>
          <t>Secondary</t>
        </is>
      </c>
      <c r="O417" s="12" t="inlineStr">
        <is>
          <t>/integrations/cursor</t>
        </is>
      </c>
      <c r="P417" s="12" t="inlineStr">
        <is>
          <t>Integration</t>
        </is>
      </c>
      <c r="Q417" s="14" t="n"/>
      <c r="R417" s="14" t="n"/>
      <c r="S417" s="14" t="n"/>
      <c r="T417" s="12" t="inlineStr">
        <is>
          <t>Not started</t>
        </is>
      </c>
      <c r="U417" s="12" t="inlineStr">
        <is>
          <t>AI-generated idea: confirm real demand (Google, Reddit) before writing a page for it</t>
        </is>
      </c>
    </row>
    <row r="418">
      <c r="A418" s="11" t="n">
        <v>417</v>
      </c>
      <c r="B418" s="12" t="inlineStr">
        <is>
          <t>copilot business cost per seat</t>
        </is>
      </c>
      <c r="C418" s="11" t="inlineStr">
        <is>
          <t>SEO</t>
        </is>
      </c>
      <c r="D418" s="12" t="inlineStr">
        <is>
          <t>Claude: spend search phrases</t>
        </is>
      </c>
      <c r="E418" s="12" t="inlineStr">
        <is>
          <t>Tool: GitHub Copilot</t>
        </is>
      </c>
      <c r="F418" s="13" t="n"/>
      <c r="G418" s="13" t="n"/>
      <c r="H418" s="14" t="n"/>
      <c r="I418" s="12" t="inlineStr">
        <is>
          <t>Informational</t>
        </is>
      </c>
      <c r="J418" s="15" t="n">
        <v>2</v>
      </c>
      <c r="K418" s="16">
        <f>IF(I418="","",IF(I418="Transactional",3,IF(I418="Commercial",2,1)))</f>
        <v/>
      </c>
      <c r="L418" s="16">
        <f>IF(G418="","",IF(G418&lt;=20,3,IF(G418&lt;=50,2,1)))</f>
        <v/>
      </c>
      <c r="M418" s="16">
        <f>IF(OR(J418="",K418="",L418=""),"",J418+K418+L418)</f>
        <v/>
      </c>
      <c r="N418" s="11" t="inlineStr">
        <is>
          <t>Secondary</t>
        </is>
      </c>
      <c r="O418" s="12" t="inlineStr">
        <is>
          <t>/integrations/github-copilot</t>
        </is>
      </c>
      <c r="P418" s="12" t="inlineStr">
        <is>
          <t>Integration</t>
        </is>
      </c>
      <c r="Q418" s="14" t="n"/>
      <c r="R418" s="14" t="n"/>
      <c r="S418" s="14" t="n"/>
      <c r="T418" s="12" t="inlineStr">
        <is>
          <t>Not started</t>
        </is>
      </c>
      <c r="U418" s="12" t="inlineStr">
        <is>
          <t>AI-generated idea: confirm real demand (Google, Reddit) before writing a page for it</t>
        </is>
      </c>
    </row>
    <row r="419">
      <c r="A419" s="11" t="n">
        <v>418</v>
      </c>
      <c r="B419" s="12" t="inlineStr">
        <is>
          <t>claude code hit limit mid task</t>
        </is>
      </c>
      <c r="C419" s="11" t="inlineStr">
        <is>
          <t>SEO</t>
        </is>
      </c>
      <c r="D419" s="12" t="inlineStr">
        <is>
          <t>Claude: Claude Code limit complaints</t>
        </is>
      </c>
      <c r="E419" s="12" t="inlineStr">
        <is>
          <t>Limits</t>
        </is>
      </c>
      <c r="F419" s="13" t="n"/>
      <c r="G419" s="13" t="n"/>
      <c r="H419" s="14" t="n"/>
      <c r="I419" s="12" t="inlineStr">
        <is>
          <t>Informational</t>
        </is>
      </c>
      <c r="J419" s="15" t="n">
        <v>2</v>
      </c>
      <c r="K419" s="16">
        <f>IF(I419="","",IF(I419="Transactional",3,IF(I419="Commercial",2,1)))</f>
        <v/>
      </c>
      <c r="L419" s="16">
        <f>IF(G419="","",IF(G419&lt;=20,3,IF(G419&lt;=50,2,1)))</f>
        <v/>
      </c>
      <c r="M419" s="16">
        <f>IF(OR(J419="",K419="",L419=""),"",J419+K419+L419)</f>
        <v/>
      </c>
      <c r="N419" s="11" t="inlineStr">
        <is>
          <t>Secondary</t>
        </is>
      </c>
      <c r="O419" s="12" t="inlineStr">
        <is>
          <t>/claude-code-usage-limits</t>
        </is>
      </c>
      <c r="P419" s="12" t="inlineStr">
        <is>
          <t>Interactive guide</t>
        </is>
      </c>
      <c r="Q419" s="14" t="n"/>
      <c r="R419" s="14" t="n"/>
      <c r="S419" s="14" t="n"/>
      <c r="T419" s="12" t="inlineStr">
        <is>
          <t>Not started</t>
        </is>
      </c>
      <c r="U419" s="12" t="inlineStr">
        <is>
          <t>AI-generated idea: confirm real demand (Google, Reddit) before writing a page for it</t>
        </is>
      </c>
    </row>
    <row r="420">
      <c r="A420" s="11" t="n">
        <v>419</v>
      </c>
      <c r="B420" s="12" t="inlineStr">
        <is>
          <t>claude opus uses limit fast</t>
        </is>
      </c>
      <c r="C420" s="11" t="inlineStr">
        <is>
          <t>SEO</t>
        </is>
      </c>
      <c r="D420" s="12" t="inlineStr">
        <is>
          <t>Claude: Claude Code limit complaints</t>
        </is>
      </c>
      <c r="E420" s="12" t="inlineStr">
        <is>
          <t>Limits</t>
        </is>
      </c>
      <c r="F420" s="13" t="n"/>
      <c r="G420" s="13" t="n"/>
      <c r="H420" s="14" t="n"/>
      <c r="I420" s="12" t="inlineStr">
        <is>
          <t>Informational</t>
        </is>
      </c>
      <c r="J420" s="15" t="n">
        <v>2</v>
      </c>
      <c r="K420" s="16">
        <f>IF(I420="","",IF(I420="Transactional",3,IF(I420="Commercial",2,1)))</f>
        <v/>
      </c>
      <c r="L420" s="16">
        <f>IF(G420="","",IF(G420&lt;=20,3,IF(G420&lt;=50,2,1)))</f>
        <v/>
      </c>
      <c r="M420" s="16">
        <f>IF(OR(J420="",K420="",L420=""),"",J420+K420+L420)</f>
        <v/>
      </c>
      <c r="N420" s="11" t="inlineStr">
        <is>
          <t>Secondary</t>
        </is>
      </c>
      <c r="O420" s="12" t="inlineStr">
        <is>
          <t>/claude-code-usage-limits</t>
        </is>
      </c>
      <c r="P420" s="12" t="inlineStr">
        <is>
          <t>Interactive guide</t>
        </is>
      </c>
      <c r="Q420" s="14" t="n"/>
      <c r="R420" s="14" t="n"/>
      <c r="S420" s="14" t="n"/>
      <c r="T420" s="12" t="inlineStr">
        <is>
          <t>Not started</t>
        </is>
      </c>
      <c r="U420" s="12" t="inlineStr">
        <is>
          <t>AI-generated idea: confirm real demand (Google, Reddit) before writing a page for it</t>
        </is>
      </c>
    </row>
    <row r="421">
      <c r="A421" s="11" t="n">
        <v>420</v>
      </c>
      <c r="B421" s="12" t="inlineStr">
        <is>
          <t>claude code subagents use too many tokens</t>
        </is>
      </c>
      <c r="C421" s="11" t="inlineStr">
        <is>
          <t>SEO</t>
        </is>
      </c>
      <c r="D421" s="12" t="inlineStr">
        <is>
          <t>Claude: Claude Code limit complaints</t>
        </is>
      </c>
      <c r="E421" s="12" t="inlineStr">
        <is>
          <t>Limits</t>
        </is>
      </c>
      <c r="F421" s="13" t="n"/>
      <c r="G421" s="13" t="n"/>
      <c r="H421" s="14" t="n"/>
      <c r="I421" s="12" t="inlineStr">
        <is>
          <t>Informational</t>
        </is>
      </c>
      <c r="J421" s="15" t="n">
        <v>2</v>
      </c>
      <c r="K421" s="16">
        <f>IF(I421="","",IF(I421="Transactional",3,IF(I421="Commercial",2,1)))</f>
        <v/>
      </c>
      <c r="L421" s="16">
        <f>IF(G421="","",IF(G421&lt;=20,3,IF(G421&lt;=50,2,1)))</f>
        <v/>
      </c>
      <c r="M421" s="16">
        <f>IF(OR(J421="",K421="",L421=""),"",J421+K421+L421)</f>
        <v/>
      </c>
      <c r="N421" s="11" t="inlineStr">
        <is>
          <t>Secondary</t>
        </is>
      </c>
      <c r="O421" s="12" t="inlineStr">
        <is>
          <t>/claude-code-usage-limits</t>
        </is>
      </c>
      <c r="P421" s="12" t="inlineStr">
        <is>
          <t>Interactive guide</t>
        </is>
      </c>
      <c r="Q421" s="14" t="n"/>
      <c r="R421" s="14" t="n"/>
      <c r="S421" s="14" t="n"/>
      <c r="T421" s="12" t="inlineStr">
        <is>
          <t>Not started</t>
        </is>
      </c>
      <c r="U421" s="12" t="inlineStr">
        <is>
          <t>AI-generated idea: confirm real demand (Google, Reddit) before writing a page for it</t>
        </is>
      </c>
    </row>
    <row r="422">
      <c r="A422" s="11" t="n">
        <v>421</v>
      </c>
      <c r="B422" s="12" t="inlineStr">
        <is>
          <t>claude code parallel sessions usage limit</t>
        </is>
      </c>
      <c r="C422" s="11" t="inlineStr">
        <is>
          <t>SEO</t>
        </is>
      </c>
      <c r="D422" s="12" t="inlineStr">
        <is>
          <t>Claude: Claude Code limit complaints</t>
        </is>
      </c>
      <c r="E422" s="12" t="inlineStr">
        <is>
          <t>Limits</t>
        </is>
      </c>
      <c r="F422" s="13" t="n"/>
      <c r="G422" s="13" t="n"/>
      <c r="H422" s="14" t="n"/>
      <c r="I422" s="12" t="inlineStr">
        <is>
          <t>Informational</t>
        </is>
      </c>
      <c r="J422" s="15" t="n">
        <v>2</v>
      </c>
      <c r="K422" s="16">
        <f>IF(I422="","",IF(I422="Transactional",3,IF(I422="Commercial",2,1)))</f>
        <v/>
      </c>
      <c r="L422" s="16">
        <f>IF(G422="","",IF(G422&lt;=20,3,IF(G422&lt;=50,2,1)))</f>
        <v/>
      </c>
      <c r="M422" s="16">
        <f>IF(OR(J422="",K422="",L422=""),"",J422+K422+L422)</f>
        <v/>
      </c>
      <c r="N422" s="11" t="inlineStr">
        <is>
          <t>Secondary</t>
        </is>
      </c>
      <c r="O422" s="12" t="inlineStr">
        <is>
          <t>/claude-code-usage-limits</t>
        </is>
      </c>
      <c r="P422" s="12" t="inlineStr">
        <is>
          <t>Interactive guide</t>
        </is>
      </c>
      <c r="Q422" s="14" t="n"/>
      <c r="R422" s="14" t="n"/>
      <c r="S422" s="14" t="n"/>
      <c r="T422" s="12" t="inlineStr">
        <is>
          <t>Not started</t>
        </is>
      </c>
      <c r="U422" s="12" t="inlineStr">
        <is>
          <t>AI-generated idea: confirm real demand (Google, Reddit) before writing a page for it</t>
        </is>
      </c>
    </row>
    <row r="423">
      <c r="A423" s="11" t="n">
        <v>422</v>
      </c>
      <c r="B423" s="12" t="inlineStr">
        <is>
          <t>claude extra usage cost</t>
        </is>
      </c>
      <c r="C423" s="11" t="inlineStr">
        <is>
          <t>SEO</t>
        </is>
      </c>
      <c r="D423" s="12" t="inlineStr">
        <is>
          <t>Claude: Claude Code limit complaints</t>
        </is>
      </c>
      <c r="E423" s="12" t="inlineStr">
        <is>
          <t>Limits</t>
        </is>
      </c>
      <c r="F423" s="13" t="n"/>
      <c r="G423" s="13" t="n"/>
      <c r="H423" s="14" t="n"/>
      <c r="I423" s="12" t="inlineStr">
        <is>
          <t>Informational</t>
        </is>
      </c>
      <c r="J423" s="15" t="n">
        <v>2</v>
      </c>
      <c r="K423" s="16">
        <f>IF(I423="","",IF(I423="Transactional",3,IF(I423="Commercial",2,1)))</f>
        <v/>
      </c>
      <c r="L423" s="16">
        <f>IF(G423="","",IF(G423&lt;=20,3,IF(G423&lt;=50,2,1)))</f>
        <v/>
      </c>
      <c r="M423" s="16">
        <f>IF(OR(J423="",K423="",L423=""),"",J423+K423+L423)</f>
        <v/>
      </c>
      <c r="N423" s="11" t="inlineStr">
        <is>
          <t>Secondary</t>
        </is>
      </c>
      <c r="O423" s="12" t="inlineStr">
        <is>
          <t>/claude-code-usage-limits</t>
        </is>
      </c>
      <c r="P423" s="12" t="inlineStr">
        <is>
          <t>Interactive guide</t>
        </is>
      </c>
      <c r="Q423" s="14" t="n"/>
      <c r="R423" s="14" t="n"/>
      <c r="S423" s="14" t="n"/>
      <c r="T423" s="12" t="inlineStr">
        <is>
          <t>Not started</t>
        </is>
      </c>
      <c r="U423" s="12" t="inlineStr">
        <is>
          <t>AI-generated idea: confirm real demand (Google, Reddit) before writing a page for it</t>
        </is>
      </c>
    </row>
    <row r="424">
      <c r="A424" s="11" t="n">
        <v>423</v>
      </c>
      <c r="B424" s="12" t="inlineStr">
        <is>
          <t>claude code team usage visibility</t>
        </is>
      </c>
      <c r="C424" s="11" t="inlineStr">
        <is>
          <t>SEO</t>
        </is>
      </c>
      <c r="D424" s="12" t="inlineStr">
        <is>
          <t>Claude: Claude Code limit complaints</t>
        </is>
      </c>
      <c r="E424" s="12" t="inlineStr">
        <is>
          <t>Limits</t>
        </is>
      </c>
      <c r="F424" s="13" t="n"/>
      <c r="G424" s="13" t="n"/>
      <c r="H424" s="14" t="n"/>
      <c r="I424" s="12" t="inlineStr">
        <is>
          <t>Commercial</t>
        </is>
      </c>
      <c r="J424" s="15" t="n">
        <v>3</v>
      </c>
      <c r="K424" s="16">
        <f>IF(I424="","",IF(I424="Transactional",3,IF(I424="Commercial",2,1)))</f>
        <v/>
      </c>
      <c r="L424" s="16">
        <f>IF(G424="","",IF(G424&lt;=20,3,IF(G424&lt;=50,2,1)))</f>
        <v/>
      </c>
      <c r="M424" s="16">
        <f>IF(OR(J424="",K424="",L424=""),"",J424+K424+L424)</f>
        <v/>
      </c>
      <c r="N424" s="11" t="inlineStr">
        <is>
          <t>Secondary</t>
        </is>
      </c>
      <c r="O424" s="12" t="inlineStr">
        <is>
          <t>/plan-headroom</t>
        </is>
      </c>
      <c r="P424" s="12" t="inlineStr">
        <is>
          <t>Feature</t>
        </is>
      </c>
      <c r="Q424" s="14" t="n"/>
      <c r="R424" s="14" t="n"/>
      <c r="S424" s="14" t="n"/>
      <c r="T424" s="12" t="inlineStr">
        <is>
          <t>Not started</t>
        </is>
      </c>
      <c r="U424" s="12" t="inlineStr">
        <is>
          <t>AI-generated idea: confirm real demand (Google, Reddit) before writing a page for it</t>
        </is>
      </c>
    </row>
    <row r="425">
      <c r="A425" s="11" t="n">
        <v>424</v>
      </c>
      <c r="B425" s="12" t="inlineStr">
        <is>
          <t>see team claude usage limits</t>
        </is>
      </c>
      <c r="C425" s="11" t="inlineStr">
        <is>
          <t>SEO</t>
        </is>
      </c>
      <c r="D425" s="12" t="inlineStr">
        <is>
          <t>Claude: Claude Code limit complaints</t>
        </is>
      </c>
      <c r="E425" s="12" t="inlineStr">
        <is>
          <t>Limits</t>
        </is>
      </c>
      <c r="F425" s="13" t="n"/>
      <c r="G425" s="13" t="n"/>
      <c r="H425" s="14" t="n"/>
      <c r="I425" s="12" t="inlineStr">
        <is>
          <t>Commercial</t>
        </is>
      </c>
      <c r="J425" s="15" t="n">
        <v>3</v>
      </c>
      <c r="K425" s="16">
        <f>IF(I425="","",IF(I425="Transactional",3,IF(I425="Commercial",2,1)))</f>
        <v/>
      </c>
      <c r="L425" s="16">
        <f>IF(G425="","",IF(G425&lt;=20,3,IF(G425&lt;=50,2,1)))</f>
        <v/>
      </c>
      <c r="M425" s="16">
        <f>IF(OR(J425="",K425="",L425=""),"",J425+K425+L425)</f>
        <v/>
      </c>
      <c r="N425" s="11" t="inlineStr">
        <is>
          <t>Secondary</t>
        </is>
      </c>
      <c r="O425" s="12" t="inlineStr">
        <is>
          <t>/plan-headroom</t>
        </is>
      </c>
      <c r="P425" s="12" t="inlineStr">
        <is>
          <t>Feature</t>
        </is>
      </c>
      <c r="Q425" s="14" t="n"/>
      <c r="R425" s="14" t="n"/>
      <c r="S425" s="14" t="n"/>
      <c r="T425" s="12" t="inlineStr">
        <is>
          <t>Not started</t>
        </is>
      </c>
      <c r="U425" s="12" t="inlineStr">
        <is>
          <t>AI-generated idea: confirm real demand (Google, Reddit) before writing a page for it</t>
        </is>
      </c>
    </row>
    <row r="426">
      <c r="A426" s="11" t="n">
        <v>425</v>
      </c>
      <c r="B426" s="12" t="inlineStr">
        <is>
          <t>How much Claude usage do I have left this week?</t>
        </is>
      </c>
      <c r="C426" s="17" t="inlineStr">
        <is>
          <t>AEO</t>
        </is>
      </c>
      <c r="D426" s="12" t="inlineStr">
        <is>
          <t>Claude: Claude Code limit complaints</t>
        </is>
      </c>
      <c r="E426" s="12" t="inlineStr">
        <is>
          <t>Limits</t>
        </is>
      </c>
      <c r="F426" s="13" t="n"/>
      <c r="G426" s="13" t="n"/>
      <c r="H426" s="14" t="n"/>
      <c r="I426" s="12" t="inlineStr">
        <is>
          <t>Informational</t>
        </is>
      </c>
      <c r="J426" s="15" t="n">
        <v>2</v>
      </c>
      <c r="K426" s="16">
        <f>IF(I426="","",IF(I426="Transactional",3,IF(I426="Commercial",2,1)))</f>
        <v/>
      </c>
      <c r="L426" s="16">
        <f>IF(G426="","",IF(G426&lt;=20,3,IF(G426&lt;=50,2,1)))</f>
        <v/>
      </c>
      <c r="M426" s="16">
        <f>IF(OR(J426="",K426="",L426=""),"",J426+K426+L426)</f>
        <v/>
      </c>
      <c r="N426" s="11" t="inlineStr">
        <is>
          <t>FAQ</t>
        </is>
      </c>
      <c r="O426" s="12" t="inlineStr">
        <is>
          <t>/claude-code-usage-limits</t>
        </is>
      </c>
      <c r="P426" s="12" t="inlineStr">
        <is>
          <t>Interactive guide</t>
        </is>
      </c>
      <c r="Q426" s="14" t="n"/>
      <c r="R426" s="14" t="n"/>
      <c r="S426" s="14" t="n"/>
      <c r="T426" s="12" t="inlineStr">
        <is>
          <t>Not started</t>
        </is>
      </c>
      <c r="U426" s="12" t="inlineStr">
        <is>
          <t>AI-generated idea: confirm real demand (Google, Reddit) before writing a page for it</t>
        </is>
      </c>
    </row>
    <row r="427">
      <c r="A427" s="11" t="n">
        <v>426</v>
      </c>
      <c r="B427" s="12" t="inlineStr">
        <is>
          <t>What is the difference between Claude's session limit, weekly limit and model limit?</t>
        </is>
      </c>
      <c r="C427" s="17" t="inlineStr">
        <is>
          <t>AEO</t>
        </is>
      </c>
      <c r="D427" s="12" t="inlineStr">
        <is>
          <t>Claude: Claude Code limit complaints</t>
        </is>
      </c>
      <c r="E427" s="12" t="inlineStr">
        <is>
          <t>Limits</t>
        </is>
      </c>
      <c r="F427" s="13" t="n"/>
      <c r="G427" s="13" t="n"/>
      <c r="H427" s="14" t="n"/>
      <c r="I427" s="12" t="inlineStr">
        <is>
          <t>Informational</t>
        </is>
      </c>
      <c r="J427" s="15" t="n">
        <v>2</v>
      </c>
      <c r="K427" s="16">
        <f>IF(I427="","",IF(I427="Transactional",3,IF(I427="Commercial",2,1)))</f>
        <v/>
      </c>
      <c r="L427" s="16">
        <f>IF(G427="","",IF(G427&lt;=20,3,IF(G427&lt;=50,2,1)))</f>
        <v/>
      </c>
      <c r="M427" s="16">
        <f>IF(OR(J427="",K427="",L427=""),"",J427+K427+L427)</f>
        <v/>
      </c>
      <c r="N427" s="11" t="inlineStr">
        <is>
          <t>FAQ</t>
        </is>
      </c>
      <c r="O427" s="12" t="inlineStr">
        <is>
          <t>/claude-code-usage-limits</t>
        </is>
      </c>
      <c r="P427" s="12" t="inlineStr">
        <is>
          <t>Interactive guide</t>
        </is>
      </c>
      <c r="Q427" s="14" t="n"/>
      <c r="R427" s="14" t="n"/>
      <c r="S427" s="14" t="n"/>
      <c r="T427" s="12" t="inlineStr">
        <is>
          <t>Not started</t>
        </is>
      </c>
      <c r="U427" s="12" t="inlineStr">
        <is>
          <t>AI-generated idea: confirm real demand (Google, Reddit) before writing a page for it</t>
        </is>
      </c>
    </row>
    <row r="428">
      <c r="A428" s="11" t="n">
        <v>427</v>
      </c>
      <c r="B428" s="12" t="inlineStr">
        <is>
          <t>Why does Opus use up my Claude limit faster?</t>
        </is>
      </c>
      <c r="C428" s="17" t="inlineStr">
        <is>
          <t>AEO</t>
        </is>
      </c>
      <c r="D428" s="12" t="inlineStr">
        <is>
          <t>Claude: Claude Code limit complaints</t>
        </is>
      </c>
      <c r="E428" s="12" t="inlineStr">
        <is>
          <t>Limits</t>
        </is>
      </c>
      <c r="F428" s="13" t="n"/>
      <c r="G428" s="13" t="n"/>
      <c r="H428" s="14" t="n"/>
      <c r="I428" s="12" t="inlineStr">
        <is>
          <t>Informational</t>
        </is>
      </c>
      <c r="J428" s="15" t="n">
        <v>2</v>
      </c>
      <c r="K428" s="16">
        <f>IF(I428="","",IF(I428="Transactional",3,IF(I428="Commercial",2,1)))</f>
        <v/>
      </c>
      <c r="L428" s="16">
        <f>IF(G428="","",IF(G428&lt;=20,3,IF(G428&lt;=50,2,1)))</f>
        <v/>
      </c>
      <c r="M428" s="16">
        <f>IF(OR(J428="",K428="",L428=""),"",J428+K428+L428)</f>
        <v/>
      </c>
      <c r="N428" s="11" t="inlineStr">
        <is>
          <t>FAQ</t>
        </is>
      </c>
      <c r="O428" s="12" t="inlineStr">
        <is>
          <t>/claude-code-usage-limits</t>
        </is>
      </c>
      <c r="P428" s="12" t="inlineStr">
        <is>
          <t>Interactive guide</t>
        </is>
      </c>
      <c r="Q428" s="14" t="n"/>
      <c r="R428" s="14" t="n"/>
      <c r="S428" s="14" t="n"/>
      <c r="T428" s="12" t="inlineStr">
        <is>
          <t>Not started</t>
        </is>
      </c>
      <c r="U428" s="12" t="inlineStr">
        <is>
          <t>AI-generated idea: confirm real demand (Google, Reddit) before writing a page for it</t>
        </is>
      </c>
    </row>
    <row r="429">
      <c r="A429" s="11" t="n">
        <v>428</v>
      </c>
      <c r="B429" s="12" t="inlineStr">
        <is>
          <t>How can a Claude team admin see who is close to their usage limit?</t>
        </is>
      </c>
      <c r="C429" s="17" t="inlineStr">
        <is>
          <t>AEO</t>
        </is>
      </c>
      <c r="D429" s="12" t="inlineStr">
        <is>
          <t>Claude: Claude Code limit complaints</t>
        </is>
      </c>
      <c r="E429" s="12" t="inlineStr">
        <is>
          <t>Limits</t>
        </is>
      </c>
      <c r="F429" s="13" t="n"/>
      <c r="G429" s="13" t="n"/>
      <c r="H429" s="14" t="n"/>
      <c r="I429" s="12" t="inlineStr">
        <is>
          <t>Commercial</t>
        </is>
      </c>
      <c r="J429" s="15" t="n">
        <v>3</v>
      </c>
      <c r="K429" s="16">
        <f>IF(I429="","",IF(I429="Transactional",3,IF(I429="Commercial",2,1)))</f>
        <v/>
      </c>
      <c r="L429" s="16">
        <f>IF(G429="","",IF(G429&lt;=20,3,IF(G429&lt;=50,2,1)))</f>
        <v/>
      </c>
      <c r="M429" s="16">
        <f>IF(OR(J429="",K429="",L429=""),"",J429+K429+L429)</f>
        <v/>
      </c>
      <c r="N429" s="11" t="inlineStr">
        <is>
          <t>FAQ</t>
        </is>
      </c>
      <c r="O429" s="12" t="inlineStr">
        <is>
          <t>/plan-headroom</t>
        </is>
      </c>
      <c r="P429" s="12" t="inlineStr">
        <is>
          <t>Feature</t>
        </is>
      </c>
      <c r="Q429" s="14" t="n"/>
      <c r="R429" s="14" t="n"/>
      <c r="S429" s="14" t="n"/>
      <c r="T429" s="12" t="inlineStr">
        <is>
          <t>Not started</t>
        </is>
      </c>
      <c r="U429" s="12" t="inlineStr">
        <is>
          <t>AI-generated idea: confirm real demand (Google, Reddit) before writing a page for it</t>
        </is>
      </c>
    </row>
    <row r="430">
      <c r="A430" s="11" t="n">
        <v>429</v>
      </c>
      <c r="B430" s="12" t="inlineStr">
        <is>
          <t>How do I stop my team losing work time to Claude limits?</t>
        </is>
      </c>
      <c r="C430" s="17" t="inlineStr">
        <is>
          <t>AEO</t>
        </is>
      </c>
      <c r="D430" s="12" t="inlineStr">
        <is>
          <t>Claude: Claude Code limit complaints</t>
        </is>
      </c>
      <c r="E430" s="12" t="inlineStr">
        <is>
          <t>Limits</t>
        </is>
      </c>
      <c r="F430" s="13" t="n"/>
      <c r="G430" s="13" t="n"/>
      <c r="H430" s="14" t="n"/>
      <c r="I430" s="12" t="inlineStr">
        <is>
          <t>Commercial</t>
        </is>
      </c>
      <c r="J430" s="15" t="n">
        <v>3</v>
      </c>
      <c r="K430" s="16">
        <f>IF(I430="","",IF(I430="Transactional",3,IF(I430="Commercial",2,1)))</f>
        <v/>
      </c>
      <c r="L430" s="16">
        <f>IF(G430="","",IF(G430&lt;=20,3,IF(G430&lt;=50,2,1)))</f>
        <v/>
      </c>
      <c r="M430" s="16">
        <f>IF(OR(J430="",K430="",L430=""),"",J430+K430+L430)</f>
        <v/>
      </c>
      <c r="N430" s="11" t="inlineStr">
        <is>
          <t>FAQ</t>
        </is>
      </c>
      <c r="O430" s="12" t="inlineStr">
        <is>
          <t>/plan-headroom</t>
        </is>
      </c>
      <c r="P430" s="12" t="inlineStr">
        <is>
          <t>Feature</t>
        </is>
      </c>
      <c r="Q430" s="14" t="n"/>
      <c r="R430" s="14" t="n"/>
      <c r="S430" s="14" t="n"/>
      <c r="T430" s="12" t="inlineStr">
        <is>
          <t>Not started</t>
        </is>
      </c>
      <c r="U430" s="12" t="inlineStr">
        <is>
          <t>AI-generated idea: confirm real demand (Google, Reddit) before writing a page for it</t>
        </is>
      </c>
    </row>
    <row r="431">
      <c r="A431" s="11" t="n">
        <v>430</v>
      </c>
      <c r="B431" s="12" t="inlineStr">
        <is>
          <t>How many developers on my team are actively using AI coding assistants?</t>
        </is>
      </c>
      <c r="C431" s="17" t="inlineStr">
        <is>
          <t>AEO</t>
        </is>
      </c>
      <c r="D431" s="12" t="inlineStr">
        <is>
          <t>ChatGPT: manager questions</t>
        </is>
      </c>
      <c r="E431" s="12" t="inlineStr">
        <is>
          <t>Category</t>
        </is>
      </c>
      <c r="F431" s="13" t="n"/>
      <c r="G431" s="13" t="n"/>
      <c r="H431" s="14" t="n"/>
      <c r="I431" s="12" t="inlineStr">
        <is>
          <t>Commercial</t>
        </is>
      </c>
      <c r="J431" s="15" t="n">
        <v>3</v>
      </c>
      <c r="K431" s="16">
        <f>IF(I431="","",IF(I431="Transactional",3,IF(I431="Commercial",2,1)))</f>
        <v/>
      </c>
      <c r="L431" s="16">
        <f>IF(G431="","",IF(G431&lt;=20,3,IF(G431&lt;=50,2,1)))</f>
        <v/>
      </c>
      <c r="M431" s="16">
        <f>IF(OR(J431="",K431="",L431=""),"",J431+K431+L431)</f>
        <v/>
      </c>
      <c r="N431" s="11" t="inlineStr">
        <is>
          <t>FAQ</t>
        </is>
      </c>
      <c r="O431" s="12" t="inlineStr">
        <is>
          <t>/ai-coding-analytics</t>
        </is>
      </c>
      <c r="P431" s="12" t="inlineStr">
        <is>
          <t>Solution</t>
        </is>
      </c>
      <c r="Q431" s="14" t="n"/>
      <c r="R431" s="14" t="n"/>
      <c r="S431" s="14" t="n"/>
      <c r="T431" s="12" t="inlineStr">
        <is>
          <t>Not started</t>
        </is>
      </c>
      <c r="U431" s="12" t="inlineStr">
        <is>
          <t>AI-generated idea: confirm real demand before writing a page for it</t>
        </is>
      </c>
    </row>
    <row r="432">
      <c r="A432" s="11" t="n">
        <v>431</v>
      </c>
      <c r="B432" s="12" t="inlineStr">
        <is>
          <t>Which AI coding tools is each developer using?</t>
        </is>
      </c>
      <c r="C432" s="17" t="inlineStr">
        <is>
          <t>AEO</t>
        </is>
      </c>
      <c r="D432" s="12" t="inlineStr">
        <is>
          <t>ChatGPT: manager questions</t>
        </is>
      </c>
      <c r="E432" s="12" t="inlineStr">
        <is>
          <t>Multi-tool</t>
        </is>
      </c>
      <c r="F432" s="13" t="n"/>
      <c r="G432" s="13" t="n"/>
      <c r="H432" s="14" t="n"/>
      <c r="I432" s="12" t="inlineStr">
        <is>
          <t>Commercial</t>
        </is>
      </c>
      <c r="J432" s="15" t="n">
        <v>3</v>
      </c>
      <c r="K432" s="16">
        <f>IF(I432="","",IF(I432="Transactional",3,IF(I432="Commercial",2,1)))</f>
        <v/>
      </c>
      <c r="L432" s="16">
        <f>IF(G432="","",IF(G432&lt;=20,3,IF(G432&lt;=50,2,1)))</f>
        <v/>
      </c>
      <c r="M432" s="16">
        <f>IF(OR(J432="",K432="",L432=""),"",J432+K432+L432)</f>
        <v/>
      </c>
      <c r="N432" s="11" t="inlineStr">
        <is>
          <t>FAQ</t>
        </is>
      </c>
      <c r="O432" s="12" t="inlineStr">
        <is>
          <t>/integrations</t>
        </is>
      </c>
      <c r="P432" s="12" t="inlineStr">
        <is>
          <t>Integration</t>
        </is>
      </c>
      <c r="Q432" s="14" t="n"/>
      <c r="R432" s="14" t="n"/>
      <c r="S432" s="14" t="n"/>
      <c r="T432" s="12" t="inlineStr">
        <is>
          <t>Not started</t>
        </is>
      </c>
      <c r="U432" s="12" t="inlineStr">
        <is>
          <t>AI-generated idea: confirm real demand before writing a page for it</t>
        </is>
      </c>
    </row>
    <row r="433">
      <c r="A433" s="11" t="n">
        <v>432</v>
      </c>
      <c r="B433" s="12" t="inlineStr">
        <is>
          <t>How often is each developer using Claude Code, Cursor, or Copilot?</t>
        </is>
      </c>
      <c r="C433" s="17" t="inlineStr">
        <is>
          <t>AEO</t>
        </is>
      </c>
      <c r="D433" s="12" t="inlineStr">
        <is>
          <t>ChatGPT: manager questions</t>
        </is>
      </c>
      <c r="E433" s="12" t="inlineStr">
        <is>
          <t>Multi-tool</t>
        </is>
      </c>
      <c r="F433" s="13" t="n"/>
      <c r="G433" s="13" t="n"/>
      <c r="H433" s="14" t="n"/>
      <c r="I433" s="12" t="inlineStr">
        <is>
          <t>Commercial</t>
        </is>
      </c>
      <c r="J433" s="15" t="n">
        <v>3</v>
      </c>
      <c r="K433" s="16">
        <f>IF(I433="","",IF(I433="Transactional",3,IF(I433="Commercial",2,1)))</f>
        <v/>
      </c>
      <c r="L433" s="16">
        <f>IF(G433="","",IF(G433&lt;=20,3,IF(G433&lt;=50,2,1)))</f>
        <v/>
      </c>
      <c r="M433" s="16">
        <f>IF(OR(J433="",K433="",L433=""),"",J433+K433+L433)</f>
        <v/>
      </c>
      <c r="N433" s="11" t="inlineStr">
        <is>
          <t>FAQ</t>
        </is>
      </c>
      <c r="O433" s="12" t="inlineStr">
        <is>
          <t>/integrations</t>
        </is>
      </c>
      <c r="P433" s="12" t="inlineStr">
        <is>
          <t>Integration</t>
        </is>
      </c>
      <c r="Q433" s="14" t="n"/>
      <c r="R433" s="14" t="n"/>
      <c r="S433" s="14" t="n"/>
      <c r="T433" s="12" t="inlineStr">
        <is>
          <t>Not started</t>
        </is>
      </c>
      <c r="U433" s="12" t="inlineStr">
        <is>
          <t>AI-generated idea: confirm real demand before writing a page for it</t>
        </is>
      </c>
    </row>
    <row r="434">
      <c r="A434" s="11" t="n">
        <v>433</v>
      </c>
      <c r="B434" s="12" t="inlineStr">
        <is>
          <t>Which AI coding tool is most popular across my team?</t>
        </is>
      </c>
      <c r="C434" s="17" t="inlineStr">
        <is>
          <t>AEO</t>
        </is>
      </c>
      <c r="D434" s="12" t="inlineStr">
        <is>
          <t>ChatGPT: manager questions</t>
        </is>
      </c>
      <c r="E434" s="12" t="inlineStr">
        <is>
          <t>Multi-tool</t>
        </is>
      </c>
      <c r="F434" s="13" t="n"/>
      <c r="G434" s="13" t="n"/>
      <c r="H434" s="14" t="n"/>
      <c r="I434" s="12" t="inlineStr">
        <is>
          <t>Commercial</t>
        </is>
      </c>
      <c r="J434" s="15" t="n">
        <v>3</v>
      </c>
      <c r="K434" s="16">
        <f>IF(I434="","",IF(I434="Transactional",3,IF(I434="Commercial",2,1)))</f>
        <v/>
      </c>
      <c r="L434" s="16">
        <f>IF(G434="","",IF(G434&lt;=20,3,IF(G434&lt;=50,2,1)))</f>
        <v/>
      </c>
      <c r="M434" s="16">
        <f>IF(OR(J434="",K434="",L434=""),"",J434+K434+L434)</f>
        <v/>
      </c>
      <c r="N434" s="11" t="inlineStr">
        <is>
          <t>FAQ</t>
        </is>
      </c>
      <c r="O434" s="12" t="inlineStr">
        <is>
          <t>/integrations</t>
        </is>
      </c>
      <c r="P434" s="12" t="inlineStr">
        <is>
          <t>Integration</t>
        </is>
      </c>
      <c r="Q434" s="14" t="n"/>
      <c r="R434" s="14" t="n"/>
      <c r="S434" s="14" t="n"/>
      <c r="T434" s="12" t="inlineStr">
        <is>
          <t>Not started</t>
        </is>
      </c>
      <c r="U434" s="12" t="inlineStr">
        <is>
          <t>AI-generated idea: confirm real demand before writing a page for it</t>
        </is>
      </c>
    </row>
    <row r="435">
      <c r="A435" s="11" t="n">
        <v>434</v>
      </c>
      <c r="B435" s="12" t="inlineStr">
        <is>
          <t>How has AI coding-tool adoption changed over time?</t>
        </is>
      </c>
      <c r="C435" s="17" t="inlineStr">
        <is>
          <t>AEO</t>
        </is>
      </c>
      <c r="D435" s="12" t="inlineStr">
        <is>
          <t>ChatGPT: manager questions</t>
        </is>
      </c>
      <c r="E435" s="12" t="inlineStr">
        <is>
          <t>Category</t>
        </is>
      </c>
      <c r="F435" s="13" t="n"/>
      <c r="G435" s="13" t="n"/>
      <c r="H435" s="14" t="n"/>
      <c r="I435" s="12" t="inlineStr">
        <is>
          <t>Commercial</t>
        </is>
      </c>
      <c r="J435" s="15" t="n">
        <v>3</v>
      </c>
      <c r="K435" s="16">
        <f>IF(I435="","",IF(I435="Transactional",3,IF(I435="Commercial",2,1)))</f>
        <v/>
      </c>
      <c r="L435" s="16">
        <f>IF(G435="","",IF(G435&lt;=20,3,IF(G435&lt;=50,2,1)))</f>
        <v/>
      </c>
      <c r="M435" s="16">
        <f>IF(OR(J435="",K435="",L435=""),"",J435+K435+L435)</f>
        <v/>
      </c>
      <c r="N435" s="11" t="inlineStr">
        <is>
          <t>FAQ</t>
        </is>
      </c>
      <c r="O435" s="12" t="inlineStr">
        <is>
          <t>/ai-coding-analytics</t>
        </is>
      </c>
      <c r="P435" s="12" t="inlineStr">
        <is>
          <t>Solution</t>
        </is>
      </c>
      <c r="Q435" s="14" t="n"/>
      <c r="R435" s="14" t="n"/>
      <c r="S435" s="14" t="n"/>
      <c r="T435" s="12" t="inlineStr">
        <is>
          <t>Not started</t>
        </is>
      </c>
      <c r="U435" s="12" t="inlineStr">
        <is>
          <t>AI-generated idea: confirm real demand before writing a page for it. Trends page is switched off; answer with Reports</t>
        </is>
      </c>
    </row>
    <row r="436">
      <c r="A436" s="11" t="n">
        <v>435</v>
      </c>
      <c r="B436" s="12" t="inlineStr">
        <is>
          <t>Which developers are using AI coding assistants the most?</t>
        </is>
      </c>
      <c r="C436" s="17" t="inlineStr">
        <is>
          <t>AEO</t>
        </is>
      </c>
      <c r="D436" s="12" t="inlineStr">
        <is>
          <t>ChatGPT: manager questions</t>
        </is>
      </c>
      <c r="E436" s="12" t="inlineStr">
        <is>
          <t>Category</t>
        </is>
      </c>
      <c r="F436" s="13" t="n"/>
      <c r="G436" s="13" t="n"/>
      <c r="H436" s="14" t="n"/>
      <c r="I436" s="12" t="inlineStr">
        <is>
          <t>Commercial</t>
        </is>
      </c>
      <c r="J436" s="15" t="n">
        <v>2</v>
      </c>
      <c r="K436" s="16">
        <f>IF(I436="","",IF(I436="Transactional",3,IF(I436="Commercial",2,1)))</f>
        <v/>
      </c>
      <c r="L436" s="16">
        <f>IF(G436="","",IF(G436&lt;=20,3,IF(G436&lt;=50,2,1)))</f>
        <v/>
      </c>
      <c r="M436" s="16">
        <f>IF(OR(J436="",K436="",L436=""),"",J436+K436+L436)</f>
        <v/>
      </c>
      <c r="N436" s="11" t="inlineStr">
        <is>
          <t>FAQ</t>
        </is>
      </c>
      <c r="O436" s="12" t="inlineStr">
        <is>
          <t>/ai-coding-analytics</t>
        </is>
      </c>
      <c r="P436" s="12" t="inlineStr">
        <is>
          <t>Solution</t>
        </is>
      </c>
      <c r="Q436" s="14" t="n"/>
      <c r="R436" s="14" t="n"/>
      <c r="S436" s="14" t="n"/>
      <c r="T436" s="12" t="inlineStr">
        <is>
          <t>Not started</t>
        </is>
      </c>
      <c r="U436" s="12" t="inlineStr">
        <is>
          <t>AI-generated idea: confirm real demand before writing a page for it. Answer without ranking framing</t>
        </is>
      </c>
    </row>
    <row r="437">
      <c r="A437" s="11" t="n">
        <v>436</v>
      </c>
      <c r="B437" s="12" t="inlineStr">
        <is>
          <t>Which developers aren't using AI coding assistants at all?</t>
        </is>
      </c>
      <c r="C437" s="17" t="inlineStr">
        <is>
          <t>AEO</t>
        </is>
      </c>
      <c r="D437" s="12" t="inlineStr">
        <is>
          <t>ChatGPT: manager questions</t>
        </is>
      </c>
      <c r="E437" s="12" t="inlineStr">
        <is>
          <t>Category</t>
        </is>
      </c>
      <c r="F437" s="13" t="n"/>
      <c r="G437" s="13" t="n"/>
      <c r="H437" s="14" t="n"/>
      <c r="I437" s="12" t="inlineStr">
        <is>
          <t>Commercial</t>
        </is>
      </c>
      <c r="J437" s="15" t="n">
        <v>3</v>
      </c>
      <c r="K437" s="16">
        <f>IF(I437="","",IF(I437="Transactional",3,IF(I437="Commercial",2,1)))</f>
        <v/>
      </c>
      <c r="L437" s="16">
        <f>IF(G437="","",IF(G437&lt;=20,3,IF(G437&lt;=50,2,1)))</f>
        <v/>
      </c>
      <c r="M437" s="16">
        <f>IF(OR(J437="",K437="",L437=""),"",J437+K437+L437)</f>
        <v/>
      </c>
      <c r="N437" s="11" t="inlineStr">
        <is>
          <t>FAQ</t>
        </is>
      </c>
      <c r="O437" s="12" t="inlineStr">
        <is>
          <t>/ai-coding-analytics</t>
        </is>
      </c>
      <c r="P437" s="12" t="inlineStr">
        <is>
          <t>Solution</t>
        </is>
      </c>
      <c r="Q437" s="14" t="n"/>
      <c r="R437" s="14" t="n"/>
      <c r="S437" s="14" t="n"/>
      <c r="T437" s="12" t="inlineStr">
        <is>
          <t>Not started</t>
        </is>
      </c>
      <c r="U437" s="12" t="inlineStr">
        <is>
          <t>AI-generated idea: confirm real demand before writing a page for it</t>
        </is>
      </c>
    </row>
    <row r="438">
      <c r="A438" s="11" t="n">
        <v>437</v>
      </c>
      <c r="B438" s="12" t="inlineStr">
        <is>
          <t>How many developers are using multiple AI coding tools?</t>
        </is>
      </c>
      <c r="C438" s="17" t="inlineStr">
        <is>
          <t>AEO</t>
        </is>
      </c>
      <c r="D438" s="12" t="inlineStr">
        <is>
          <t>ChatGPT: manager questions</t>
        </is>
      </c>
      <c r="E438" s="12" t="inlineStr">
        <is>
          <t>Multi-tool</t>
        </is>
      </c>
      <c r="F438" s="13" t="n"/>
      <c r="G438" s="13" t="n"/>
      <c r="H438" s="14" t="n"/>
      <c r="I438" s="12" t="inlineStr">
        <is>
          <t>Commercial</t>
        </is>
      </c>
      <c r="J438" s="15" t="n">
        <v>3</v>
      </c>
      <c r="K438" s="16">
        <f>IF(I438="","",IF(I438="Transactional",3,IF(I438="Commercial",2,1)))</f>
        <v/>
      </c>
      <c r="L438" s="16">
        <f>IF(G438="","",IF(G438&lt;=20,3,IF(G438&lt;=50,2,1)))</f>
        <v/>
      </c>
      <c r="M438" s="16">
        <f>IF(OR(J438="",K438="",L438=""),"",J438+K438+L438)</f>
        <v/>
      </c>
      <c r="N438" s="11" t="inlineStr">
        <is>
          <t>FAQ</t>
        </is>
      </c>
      <c r="O438" s="12" t="inlineStr">
        <is>
          <t>/integrations</t>
        </is>
      </c>
      <c r="P438" s="12" t="inlineStr">
        <is>
          <t>Integration</t>
        </is>
      </c>
      <c r="Q438" s="14" t="n"/>
      <c r="R438" s="14" t="n"/>
      <c r="S438" s="14" t="n"/>
      <c r="T438" s="12" t="inlineStr">
        <is>
          <t>Not started</t>
        </is>
      </c>
      <c r="U438" s="12" t="inlineStr">
        <is>
          <t>AI-generated idea: confirm real demand before writing a page for it</t>
        </is>
      </c>
    </row>
    <row r="439">
      <c r="A439" s="11" t="n">
        <v>438</v>
      </c>
      <c r="B439" s="12" t="inlineStr">
        <is>
          <t>Are developers using company-approved AI tools or personal accounts?</t>
        </is>
      </c>
      <c r="C439" s="17" t="inlineStr">
        <is>
          <t>AEO</t>
        </is>
      </c>
      <c r="D439" s="12" t="inlineStr">
        <is>
          <t>ChatGPT: manager questions</t>
        </is>
      </c>
      <c r="E439" s="12" t="inlineStr">
        <is>
          <t>Shadow AI &amp; Seats</t>
        </is>
      </c>
      <c r="F439" s="13" t="n"/>
      <c r="G439" s="13" t="n"/>
      <c r="H439" s="14" t="n"/>
      <c r="I439" s="12" t="inlineStr">
        <is>
          <t>Commercial</t>
        </is>
      </c>
      <c r="J439" s="15" t="n">
        <v>3</v>
      </c>
      <c r="K439" s="16">
        <f>IF(I439="","",IF(I439="Transactional",3,IF(I439="Commercial",2,1)))</f>
        <v/>
      </c>
      <c r="L439" s="16">
        <f>IF(G439="","",IF(G439&lt;=20,3,IF(G439&lt;=50,2,1)))</f>
        <v/>
      </c>
      <c r="M439" s="16">
        <f>IF(OR(J439="",K439="",L439=""),"",J439+K439+L439)</f>
        <v/>
      </c>
      <c r="N439" s="11" t="inlineStr">
        <is>
          <t>FAQ</t>
        </is>
      </c>
      <c r="O439" s="12" t="inlineStr">
        <is>
          <t>/shadow-ai</t>
        </is>
      </c>
      <c r="P439" s="12" t="inlineStr">
        <is>
          <t>Solution</t>
        </is>
      </c>
      <c r="Q439" s="14" t="n"/>
      <c r="R439" s="14" t="n"/>
      <c r="S439" s="14" t="n"/>
      <c r="T439" s="12" t="inlineStr">
        <is>
          <t>Not started</t>
        </is>
      </c>
      <c r="U439" s="12" t="inlineStr">
        <is>
          <t>AI-generated idea: confirm real demand before writing a page for it. Tool Accounts page</t>
        </is>
      </c>
    </row>
    <row r="440">
      <c r="A440" s="11" t="n">
        <v>439</v>
      </c>
      <c r="B440" s="12" t="inlineStr">
        <is>
          <t>How quickly are new developers adopting AI coding assistants?</t>
        </is>
      </c>
      <c r="C440" s="17" t="inlineStr">
        <is>
          <t>AEO</t>
        </is>
      </c>
      <c r="D440" s="12" t="inlineStr">
        <is>
          <t>ChatGPT: manager questions</t>
        </is>
      </c>
      <c r="E440" s="12" t="inlineStr">
        <is>
          <t>Category</t>
        </is>
      </c>
      <c r="F440" s="13" t="n"/>
      <c r="G440" s="13" t="n"/>
      <c r="H440" s="14" t="n"/>
      <c r="I440" s="12" t="inlineStr">
        <is>
          <t>Commercial</t>
        </is>
      </c>
      <c r="J440" s="15" t="n">
        <v>2</v>
      </c>
      <c r="K440" s="16">
        <f>IF(I440="","",IF(I440="Transactional",3,IF(I440="Commercial",2,1)))</f>
        <v/>
      </c>
      <c r="L440" s="16">
        <f>IF(G440="","",IF(G440&lt;=20,3,IF(G440&lt;=50,2,1)))</f>
        <v/>
      </c>
      <c r="M440" s="16">
        <f>IF(OR(J440="",K440="",L440=""),"",J440+K440+L440)</f>
        <v/>
      </c>
      <c r="N440" s="11" t="inlineStr">
        <is>
          <t>FAQ</t>
        </is>
      </c>
      <c r="O440" s="12" t="inlineStr">
        <is>
          <t>/ai-coding-analytics</t>
        </is>
      </c>
      <c r="P440" s="12" t="inlineStr">
        <is>
          <t>Solution</t>
        </is>
      </c>
      <c r="Q440" s="14" t="n"/>
      <c r="R440" s="14" t="n"/>
      <c r="S440" s="14" t="n"/>
      <c r="T440" s="12" t="inlineStr">
        <is>
          <t>Not started</t>
        </is>
      </c>
      <c r="U440" s="12" t="inlineStr">
        <is>
          <t>AI-generated idea: confirm real demand before writing a page for it</t>
        </is>
      </c>
    </row>
    <row r="441">
      <c r="A441" s="11" t="n">
        <v>440</v>
      </c>
      <c r="B441" s="12" t="inlineStr">
        <is>
          <t>How much are we spending on AI coding tools each month?</t>
        </is>
      </c>
      <c r="C441" s="17" t="inlineStr">
        <is>
          <t>AEO</t>
        </is>
      </c>
      <c r="D441" s="12" t="inlineStr">
        <is>
          <t>ChatGPT: manager questions</t>
        </is>
      </c>
      <c r="E441" s="12" t="inlineStr">
        <is>
          <t>Cost</t>
        </is>
      </c>
      <c r="F441" s="13" t="n"/>
      <c r="G441" s="13" t="n"/>
      <c r="H441" s="14" t="n"/>
      <c r="I441" s="12" t="inlineStr">
        <is>
          <t>Commercial</t>
        </is>
      </c>
      <c r="J441" s="15" t="n">
        <v>3</v>
      </c>
      <c r="K441" s="16">
        <f>IF(I441="","",IF(I441="Transactional",3,IF(I441="Commercial",2,1)))</f>
        <v/>
      </c>
      <c r="L441" s="16">
        <f>IF(G441="","",IF(G441&lt;=20,3,IF(G441&lt;=50,2,1)))</f>
        <v/>
      </c>
      <c r="M441" s="16">
        <f>IF(OR(J441="",K441="",L441=""),"",J441+K441+L441)</f>
        <v/>
      </c>
      <c r="N441" s="11" t="inlineStr">
        <is>
          <t>FAQ</t>
        </is>
      </c>
      <c r="O441" s="12" t="inlineStr">
        <is>
          <t>/ai-cost-tracking</t>
        </is>
      </c>
      <c r="P441" s="12" t="inlineStr">
        <is>
          <t>Interactive guide</t>
        </is>
      </c>
      <c r="Q441" s="14" t="n"/>
      <c r="R441" s="14" t="n"/>
      <c r="S441" s="14" t="n"/>
      <c r="T441" s="12" t="inlineStr">
        <is>
          <t>Not started</t>
        </is>
      </c>
      <c r="U441" s="12" t="inlineStr">
        <is>
          <t>AI-generated idea: confirm real demand before writing a page for it</t>
        </is>
      </c>
    </row>
    <row r="442">
      <c r="A442" s="11" t="n">
        <v>441</v>
      </c>
      <c r="B442" s="12" t="inlineStr">
        <is>
          <t>How much does AI coding assistance cost per developer?</t>
        </is>
      </c>
      <c r="C442" s="17" t="inlineStr">
        <is>
          <t>AEO</t>
        </is>
      </c>
      <c r="D442" s="12" t="inlineStr">
        <is>
          <t>ChatGPT: manager questions</t>
        </is>
      </c>
      <c r="E442" s="12" t="inlineStr">
        <is>
          <t>Cost</t>
        </is>
      </c>
      <c r="F442" s="13" t="n"/>
      <c r="G442" s="13" t="n"/>
      <c r="H442" s="14" t="n"/>
      <c r="I442" s="12" t="inlineStr">
        <is>
          <t>Commercial</t>
        </is>
      </c>
      <c r="J442" s="15" t="n">
        <v>3</v>
      </c>
      <c r="K442" s="16">
        <f>IF(I442="","",IF(I442="Transactional",3,IF(I442="Commercial",2,1)))</f>
        <v/>
      </c>
      <c r="L442" s="16">
        <f>IF(G442="","",IF(G442&lt;=20,3,IF(G442&lt;=50,2,1)))</f>
        <v/>
      </c>
      <c r="M442" s="16">
        <f>IF(OR(J442="",K442="",L442=""),"",J442+K442+L442)</f>
        <v/>
      </c>
      <c r="N442" s="11" t="inlineStr">
        <is>
          <t>FAQ</t>
        </is>
      </c>
      <c r="O442" s="12" t="inlineStr">
        <is>
          <t>/ai-cost-tracking</t>
        </is>
      </c>
      <c r="P442" s="12" t="inlineStr">
        <is>
          <t>Interactive guide</t>
        </is>
      </c>
      <c r="Q442" s="14" t="n"/>
      <c r="R442" s="14" t="n"/>
      <c r="S442" s="14" t="n"/>
      <c r="T442" s="12" t="inlineStr">
        <is>
          <t>Not started</t>
        </is>
      </c>
      <c r="U442" s="12" t="inlineStr">
        <is>
          <t>AI-generated idea: confirm real demand before writing a page for it</t>
        </is>
      </c>
    </row>
    <row r="443">
      <c r="A443" s="11" t="n">
        <v>442</v>
      </c>
      <c r="B443" s="12" t="inlineStr">
        <is>
          <t>Which AI coding tools are costing us the most?</t>
        </is>
      </c>
      <c r="C443" s="17" t="inlineStr">
        <is>
          <t>AEO</t>
        </is>
      </c>
      <c r="D443" s="12" t="inlineStr">
        <is>
          <t>ChatGPT: manager questions</t>
        </is>
      </c>
      <c r="E443" s="12" t="inlineStr">
        <is>
          <t>Cost</t>
        </is>
      </c>
      <c r="F443" s="13" t="n"/>
      <c r="G443" s="13" t="n"/>
      <c r="H443" s="14" t="n"/>
      <c r="I443" s="12" t="inlineStr">
        <is>
          <t>Commercial</t>
        </is>
      </c>
      <c r="J443" s="15" t="n">
        <v>3</v>
      </c>
      <c r="K443" s="16">
        <f>IF(I443="","",IF(I443="Transactional",3,IF(I443="Commercial",2,1)))</f>
        <v/>
      </c>
      <c r="L443" s="16">
        <f>IF(G443="","",IF(G443&lt;=20,3,IF(G443&lt;=50,2,1)))</f>
        <v/>
      </c>
      <c r="M443" s="16">
        <f>IF(OR(J443="",K443="",L443=""),"",J443+K443+L443)</f>
        <v/>
      </c>
      <c r="N443" s="11" t="inlineStr">
        <is>
          <t>FAQ</t>
        </is>
      </c>
      <c r="O443" s="12" t="inlineStr">
        <is>
          <t>/ai-cost-tracking</t>
        </is>
      </c>
      <c r="P443" s="12" t="inlineStr">
        <is>
          <t>Interactive guide</t>
        </is>
      </c>
      <c r="Q443" s="14" t="n"/>
      <c r="R443" s="14" t="n"/>
      <c r="S443" s="14" t="n"/>
      <c r="T443" s="12" t="inlineStr">
        <is>
          <t>Not started</t>
        </is>
      </c>
      <c r="U443" s="12" t="inlineStr">
        <is>
          <t>AI-generated idea: confirm real demand before writing a page for it</t>
        </is>
      </c>
    </row>
    <row r="444">
      <c r="A444" s="11" t="n">
        <v>443</v>
      </c>
      <c r="B444" s="12" t="inlineStr">
        <is>
          <t>Are we paying for licenses that developers aren't using?</t>
        </is>
      </c>
      <c r="C444" s="17" t="inlineStr">
        <is>
          <t>AEO</t>
        </is>
      </c>
      <c r="D444" s="12" t="inlineStr">
        <is>
          <t>ChatGPT: manager questions</t>
        </is>
      </c>
      <c r="E444" s="12" t="inlineStr">
        <is>
          <t>Shadow AI &amp; Seats</t>
        </is>
      </c>
      <c r="F444" s="13" t="n"/>
      <c r="G444" s="13" t="n"/>
      <c r="H444" s="14" t="n"/>
      <c r="I444" s="12" t="inlineStr">
        <is>
          <t>Commercial</t>
        </is>
      </c>
      <c r="J444" s="15" t="n">
        <v>3</v>
      </c>
      <c r="K444" s="16">
        <f>IF(I444="","",IF(I444="Transactional",3,IF(I444="Commercial",2,1)))</f>
        <v/>
      </c>
      <c r="L444" s="16">
        <f>IF(G444="","",IF(G444&lt;=20,3,IF(G444&lt;=50,2,1)))</f>
        <v/>
      </c>
      <c r="M444" s="16">
        <f>IF(OR(J444="",K444="",L444=""),"",J444+K444+L444)</f>
        <v/>
      </c>
      <c r="N444" s="11" t="inlineStr">
        <is>
          <t>FAQ</t>
        </is>
      </c>
      <c r="O444" s="12" t="inlineStr">
        <is>
          <t>/shadow-ai</t>
        </is>
      </c>
      <c r="P444" s="12" t="inlineStr">
        <is>
          <t>Solution</t>
        </is>
      </c>
      <c r="Q444" s="14" t="n"/>
      <c r="R444" s="14" t="n"/>
      <c r="S444" s="14" t="n"/>
      <c r="T444" s="12" t="inlineStr">
        <is>
          <t>Not started</t>
        </is>
      </c>
      <c r="U444" s="12" t="inlineStr">
        <is>
          <t>AI-generated idea: confirm real demand before writing a page for it</t>
        </is>
      </c>
    </row>
    <row r="445">
      <c r="A445" s="11" t="n">
        <v>444</v>
      </c>
      <c r="B445" s="12" t="inlineStr">
        <is>
          <t>Which developers have the highest AI tool costs?</t>
        </is>
      </c>
      <c r="C445" s="17" t="inlineStr">
        <is>
          <t>AEO</t>
        </is>
      </c>
      <c r="D445" s="12" t="inlineStr">
        <is>
          <t>ChatGPT: manager questions</t>
        </is>
      </c>
      <c r="E445" s="12" t="inlineStr">
        <is>
          <t>Cost</t>
        </is>
      </c>
      <c r="F445" s="13" t="n"/>
      <c r="G445" s="13" t="n"/>
      <c r="H445" s="14" t="n"/>
      <c r="I445" s="12" t="inlineStr">
        <is>
          <t>Commercial</t>
        </is>
      </c>
      <c r="J445" s="15" t="n">
        <v>3</v>
      </c>
      <c r="K445" s="16">
        <f>IF(I445="","",IF(I445="Transactional",3,IF(I445="Commercial",2,1)))</f>
        <v/>
      </c>
      <c r="L445" s="16">
        <f>IF(G445="","",IF(G445&lt;=20,3,IF(G445&lt;=50,2,1)))</f>
        <v/>
      </c>
      <c r="M445" s="16">
        <f>IF(OR(J445="",K445="",L445=""),"",J445+K445+L445)</f>
        <v/>
      </c>
      <c r="N445" s="11" t="inlineStr">
        <is>
          <t>FAQ</t>
        </is>
      </c>
      <c r="O445" s="12" t="inlineStr">
        <is>
          <t>/ai-cost-tracking</t>
        </is>
      </c>
      <c r="P445" s="12" t="inlineStr">
        <is>
          <t>Interactive guide</t>
        </is>
      </c>
      <c r="Q445" s="14" t="n"/>
      <c r="R445" s="14" t="n"/>
      <c r="S445" s="14" t="n"/>
      <c r="T445" s="12" t="inlineStr">
        <is>
          <t>Not started</t>
        </is>
      </c>
      <c r="U445" s="12" t="inlineStr">
        <is>
          <t>AI-generated idea: confirm real demand before writing a page for it</t>
        </is>
      </c>
    </row>
    <row r="446">
      <c r="A446" s="11" t="n">
        <v>445</v>
      </c>
      <c r="B446" s="12" t="inlineStr">
        <is>
          <t>How much could we save by removing unused licenses?</t>
        </is>
      </c>
      <c r="C446" s="17" t="inlineStr">
        <is>
          <t>AEO</t>
        </is>
      </c>
      <c r="D446" s="12" t="inlineStr">
        <is>
          <t>ChatGPT: manager questions</t>
        </is>
      </c>
      <c r="E446" s="12" t="inlineStr">
        <is>
          <t>Shadow AI &amp; Seats</t>
        </is>
      </c>
      <c r="F446" s="13" t="n"/>
      <c r="G446" s="13" t="n"/>
      <c r="H446" s="14" t="n"/>
      <c r="I446" s="12" t="inlineStr">
        <is>
          <t>Commercial</t>
        </is>
      </c>
      <c r="J446" s="15" t="n">
        <v>3</v>
      </c>
      <c r="K446" s="16">
        <f>IF(I446="","",IF(I446="Transactional",3,IF(I446="Commercial",2,1)))</f>
        <v/>
      </c>
      <c r="L446" s="16">
        <f>IF(G446="","",IF(G446&lt;=20,3,IF(G446&lt;=50,2,1)))</f>
        <v/>
      </c>
      <c r="M446" s="16">
        <f>IF(OR(J446="",K446="",L446=""),"",J446+K446+L446)</f>
        <v/>
      </c>
      <c r="N446" s="11" t="inlineStr">
        <is>
          <t>FAQ</t>
        </is>
      </c>
      <c r="O446" s="12" t="inlineStr">
        <is>
          <t>/shadow-ai</t>
        </is>
      </c>
      <c r="P446" s="12" t="inlineStr">
        <is>
          <t>Solution</t>
        </is>
      </c>
      <c r="Q446" s="14" t="n"/>
      <c r="R446" s="14" t="n"/>
      <c r="S446" s="14" t="n"/>
      <c r="T446" s="12" t="inlineStr">
        <is>
          <t>Not started</t>
        </is>
      </c>
      <c r="U446" s="12" t="inlineStr">
        <is>
          <t>AI-generated idea: confirm real demand before writing a page for it</t>
        </is>
      </c>
    </row>
    <row r="447">
      <c r="A447" s="11" t="n">
        <v>446</v>
      </c>
      <c r="B447" s="12" t="inlineStr">
        <is>
          <t>Are developers using expensive AI models when cheaper models would work?</t>
        </is>
      </c>
      <c r="C447" s="17" t="inlineStr">
        <is>
          <t>AEO</t>
        </is>
      </c>
      <c r="D447" s="12" t="inlineStr">
        <is>
          <t>ChatGPT: manager questions</t>
        </is>
      </c>
      <c r="E447" s="12" t="inlineStr">
        <is>
          <t>Cost</t>
        </is>
      </c>
      <c r="F447" s="13" t="n"/>
      <c r="G447" s="13" t="n"/>
      <c r="H447" s="14" t="n"/>
      <c r="I447" s="12" t="inlineStr">
        <is>
          <t>Informational</t>
        </is>
      </c>
      <c r="J447" s="15" t="n">
        <v>2</v>
      </c>
      <c r="K447" s="16">
        <f>IF(I447="","",IF(I447="Transactional",3,IF(I447="Commercial",2,1)))</f>
        <v/>
      </c>
      <c r="L447" s="16">
        <f>IF(G447="","",IF(G447&lt;=20,3,IF(G447&lt;=50,2,1)))</f>
        <v/>
      </c>
      <c r="M447" s="16">
        <f>IF(OR(J447="",K447="",L447=""),"",J447+K447+L447)</f>
        <v/>
      </c>
      <c r="N447" s="11" t="inlineStr">
        <is>
          <t>FAQ</t>
        </is>
      </c>
      <c r="O447" s="12" t="inlineStr">
        <is>
          <t>/blog/reduce-ai-coding-costs</t>
        </is>
      </c>
      <c r="P447" s="12" t="inlineStr">
        <is>
          <t>Blog</t>
        </is>
      </c>
      <c r="Q447" s="14" t="n"/>
      <c r="R447" s="14" t="n"/>
      <c r="S447" s="14" t="n"/>
      <c r="T447" s="12" t="inlineStr">
        <is>
          <t>Not started</t>
        </is>
      </c>
      <c r="U447" s="12" t="inlineStr">
        <is>
          <t>AI-generated idea: confirm real demand before writing a page for it</t>
        </is>
      </c>
    </row>
    <row r="448">
      <c r="A448" s="11" t="n">
        <v>447</v>
      </c>
      <c r="B448" s="12" t="inlineStr">
        <is>
          <t>How much are we spending on AI coding tools compared with traditional developer tools?</t>
        </is>
      </c>
      <c r="C448" s="17" t="inlineStr">
        <is>
          <t>AEO</t>
        </is>
      </c>
      <c r="D448" s="12" t="inlineStr">
        <is>
          <t>ChatGPT: manager questions</t>
        </is>
      </c>
      <c r="E448" s="12" t="inlineStr">
        <is>
          <t>Cost</t>
        </is>
      </c>
      <c r="F448" s="13" t="n"/>
      <c r="G448" s="13" t="n"/>
      <c r="H448" s="14" t="n"/>
      <c r="I448" s="12" t="inlineStr">
        <is>
          <t>Informational</t>
        </is>
      </c>
      <c r="J448" s="15" t="n">
        <v>1</v>
      </c>
      <c r="K448" s="16">
        <f>IF(I448="","",IF(I448="Transactional",3,IF(I448="Commercial",2,1)))</f>
        <v/>
      </c>
      <c r="L448" s="16">
        <f>IF(G448="","",IF(G448&lt;=20,3,IF(G448&lt;=50,2,1)))</f>
        <v/>
      </c>
      <c r="M448" s="16">
        <f>IF(OR(J448="",K448="",L448=""),"",J448+K448+L448)</f>
        <v/>
      </c>
      <c r="N448" s="11" t="inlineStr">
        <is>
          <t>FAQ</t>
        </is>
      </c>
      <c r="O448" s="12" t="inlineStr">
        <is>
          <t>/blog/ai-coding-roi</t>
        </is>
      </c>
      <c r="P448" s="12" t="inlineStr">
        <is>
          <t>Interactive guide</t>
        </is>
      </c>
      <c r="Q448" s="14" t="n"/>
      <c r="R448" s="14" t="n"/>
      <c r="S448" s="14" t="n"/>
      <c r="T448" s="12" t="inlineStr">
        <is>
          <t>Not started</t>
        </is>
      </c>
      <c r="U448" s="12" t="inlineStr">
        <is>
          <t>AI-generated idea: confirm real demand before writing a page for it. Kite Pulse only covers AI tools</t>
        </is>
      </c>
    </row>
    <row r="449">
      <c r="A449" s="11" t="n">
        <v>448</v>
      </c>
      <c r="B449" s="12" t="inlineStr">
        <is>
          <t>Is our AI coding-tool spending increasing faster than our engineering headcount?</t>
        </is>
      </c>
      <c r="C449" s="17" t="inlineStr">
        <is>
          <t>AEO</t>
        </is>
      </c>
      <c r="D449" s="12" t="inlineStr">
        <is>
          <t>ChatGPT: manager questions</t>
        </is>
      </c>
      <c r="E449" s="12" t="inlineStr">
        <is>
          <t>Cost</t>
        </is>
      </c>
      <c r="F449" s="13" t="n"/>
      <c r="G449" s="13" t="n"/>
      <c r="H449" s="14" t="n"/>
      <c r="I449" s="12" t="inlineStr">
        <is>
          <t>Informational</t>
        </is>
      </c>
      <c r="J449" s="15" t="n">
        <v>2</v>
      </c>
      <c r="K449" s="16">
        <f>IF(I449="","",IF(I449="Transactional",3,IF(I449="Commercial",2,1)))</f>
        <v/>
      </c>
      <c r="L449" s="16">
        <f>IF(G449="","",IF(G449&lt;=20,3,IF(G449&lt;=50,2,1)))</f>
        <v/>
      </c>
      <c r="M449" s="16">
        <f>IF(OR(J449="",K449="",L449=""),"",J449+K449+L449)</f>
        <v/>
      </c>
      <c r="N449" s="11" t="inlineStr">
        <is>
          <t>FAQ</t>
        </is>
      </c>
      <c r="O449" s="12" t="inlineStr">
        <is>
          <t>/blog/ai-coding-roi</t>
        </is>
      </c>
      <c r="P449" s="12" t="inlineStr">
        <is>
          <t>Interactive guide</t>
        </is>
      </c>
      <c r="Q449" s="14" t="n"/>
      <c r="R449" s="14" t="n"/>
      <c r="S449" s="14" t="n"/>
      <c r="T449" s="12" t="inlineStr">
        <is>
          <t>Not started</t>
        </is>
      </c>
      <c r="U449" s="12" t="inlineStr">
        <is>
          <t>AI-generated idea: confirm real demand before writing a page for it</t>
        </is>
      </c>
    </row>
    <row r="450">
      <c r="A450" s="11" t="n">
        <v>449</v>
      </c>
      <c r="B450" s="12" t="inlineStr">
        <is>
          <t>What is our total AI coding spend across the organization?</t>
        </is>
      </c>
      <c r="C450" s="17" t="inlineStr">
        <is>
          <t>AEO</t>
        </is>
      </c>
      <c r="D450" s="12" t="inlineStr">
        <is>
          <t>ChatGPT: manager questions</t>
        </is>
      </c>
      <c r="E450" s="12" t="inlineStr">
        <is>
          <t>Cost</t>
        </is>
      </c>
      <c r="F450" s="13" t="n"/>
      <c r="G450" s="13" t="n"/>
      <c r="H450" s="14" t="n"/>
      <c r="I450" s="12" t="inlineStr">
        <is>
          <t>Commercial</t>
        </is>
      </c>
      <c r="J450" s="15" t="n">
        <v>3</v>
      </c>
      <c r="K450" s="16">
        <f>IF(I450="","",IF(I450="Transactional",3,IF(I450="Commercial",2,1)))</f>
        <v/>
      </c>
      <c r="L450" s="16">
        <f>IF(G450="","",IF(G450&lt;=20,3,IF(G450&lt;=50,2,1)))</f>
        <v/>
      </c>
      <c r="M450" s="16">
        <f>IF(OR(J450="",K450="",L450=""),"",J450+K450+L450)</f>
        <v/>
      </c>
      <c r="N450" s="11" t="inlineStr">
        <is>
          <t>FAQ</t>
        </is>
      </c>
      <c r="O450" s="12" t="inlineStr">
        <is>
          <t>/ai-cost-tracking</t>
        </is>
      </c>
      <c r="P450" s="12" t="inlineStr">
        <is>
          <t>Interactive guide</t>
        </is>
      </c>
      <c r="Q450" s="14" t="n"/>
      <c r="R450" s="14" t="n"/>
      <c r="S450" s="14" t="n"/>
      <c r="T450" s="12" t="inlineStr">
        <is>
          <t>Not started</t>
        </is>
      </c>
      <c r="U450" s="12" t="inlineStr">
        <is>
          <t>AI-generated idea: confirm real demand before writing a page for it</t>
        </is>
      </c>
    </row>
    <row r="451">
      <c r="A451" s="11" t="n">
        <v>450</v>
      </c>
      <c r="B451" s="12" t="inlineStr">
        <is>
          <t>Is using AI coding assistants actually making developers more productive?</t>
        </is>
      </c>
      <c r="C451" s="17" t="inlineStr">
        <is>
          <t>AEO</t>
        </is>
      </c>
      <c r="D451" s="12" t="inlineStr">
        <is>
          <t>ChatGPT: manager questions</t>
        </is>
      </c>
      <c r="E451" s="12" t="inlineStr">
        <is>
          <t>Engineering Intelligence</t>
        </is>
      </c>
      <c r="F451" s="13" t="n"/>
      <c r="G451" s="13" t="n"/>
      <c r="H451" s="14" t="n"/>
      <c r="I451" s="12" t="inlineStr">
        <is>
          <t>Informational</t>
        </is>
      </c>
      <c r="J451" s="15" t="n">
        <v>2</v>
      </c>
      <c r="K451" s="16">
        <f>IF(I451="","",IF(I451="Transactional",3,IF(I451="Commercial",2,1)))</f>
        <v/>
      </c>
      <c r="L451" s="16">
        <f>IF(G451="","",IF(G451&lt;=20,3,IF(G451&lt;=50,2,1)))</f>
        <v/>
      </c>
      <c r="M451" s="16">
        <f>IF(OR(J451="",K451="",L451=""),"",J451+K451+L451)</f>
        <v/>
      </c>
      <c r="N451" s="11" t="inlineStr">
        <is>
          <t>FAQ</t>
        </is>
      </c>
      <c r="O451" s="12" t="inlineStr">
        <is>
          <t>/blog/measure-developer-productivity-ai</t>
        </is>
      </c>
      <c r="P451" s="12" t="inlineStr">
        <is>
          <t>Interactive guide</t>
        </is>
      </c>
      <c r="Q451" s="14" t="n"/>
      <c r="R451" s="14" t="n"/>
      <c r="S451" s="14" t="n"/>
      <c r="T451" s="12" t="inlineStr">
        <is>
          <t>Not started</t>
        </is>
      </c>
      <c r="U451" s="12" t="inlineStr">
        <is>
          <t>AI-generated idea: confirm real demand before writing a page for it</t>
        </is>
      </c>
    </row>
    <row r="452">
      <c r="A452" s="11" t="n">
        <v>451</v>
      </c>
      <c r="B452" s="12" t="inlineStr">
        <is>
          <t>Which teams are getting the most value from AI coding tools?</t>
        </is>
      </c>
      <c r="C452" s="17" t="inlineStr">
        <is>
          <t>AEO</t>
        </is>
      </c>
      <c r="D452" s="12" t="inlineStr">
        <is>
          <t>ChatGPT: manager questions</t>
        </is>
      </c>
      <c r="E452" s="12" t="inlineStr">
        <is>
          <t>Engineering Intelligence</t>
        </is>
      </c>
      <c r="F452" s="13" t="n"/>
      <c r="G452" s="13" t="n"/>
      <c r="H452" s="14" t="n"/>
      <c r="I452" s="12" t="inlineStr">
        <is>
          <t>Commercial</t>
        </is>
      </c>
      <c r="J452" s="15" t="n">
        <v>2</v>
      </c>
      <c r="K452" s="16">
        <f>IF(I452="","",IF(I452="Transactional",3,IF(I452="Commercial",2,1)))</f>
        <v/>
      </c>
      <c r="L452" s="16">
        <f>IF(G452="","",IF(G452&lt;=20,3,IF(G452&lt;=50,2,1)))</f>
        <v/>
      </c>
      <c r="M452" s="16">
        <f>IF(OR(J452="",K452="",L452=""),"",J452+K452+L452)</f>
        <v/>
      </c>
      <c r="N452" s="11" t="inlineStr">
        <is>
          <t>FAQ</t>
        </is>
      </c>
      <c r="O452" s="12" t="inlineStr">
        <is>
          <t>/engineering-intelligence</t>
        </is>
      </c>
      <c r="P452" s="12" t="inlineStr">
        <is>
          <t>Solution</t>
        </is>
      </c>
      <c r="Q452" s="14" t="n"/>
      <c r="R452" s="14" t="n"/>
      <c r="S452" s="14" t="n"/>
      <c r="T452" s="12" t="inlineStr">
        <is>
          <t>Not started</t>
        </is>
      </c>
      <c r="U452" s="12" t="inlineStr">
        <is>
          <t>AI-generated idea: confirm real demand before writing a page for it</t>
        </is>
      </c>
    </row>
    <row r="453">
      <c r="A453" s="11" t="n">
        <v>452</v>
      </c>
      <c r="B453" s="12" t="inlineStr">
        <is>
          <t>Does higher AI usage correlate with higher developer productivity?</t>
        </is>
      </c>
      <c r="C453" s="17" t="inlineStr">
        <is>
          <t>AEO</t>
        </is>
      </c>
      <c r="D453" s="12" t="inlineStr">
        <is>
          <t>ChatGPT: manager questions</t>
        </is>
      </c>
      <c r="E453" s="12" t="inlineStr">
        <is>
          <t>Engineering Intelligence</t>
        </is>
      </c>
      <c r="F453" s="13" t="n"/>
      <c r="G453" s="13" t="n"/>
      <c r="H453" s="14" t="n"/>
      <c r="I453" s="12" t="inlineStr">
        <is>
          <t>Informational</t>
        </is>
      </c>
      <c r="J453" s="15" t="n">
        <v>2</v>
      </c>
      <c r="K453" s="16">
        <f>IF(I453="","",IF(I453="Transactional",3,IF(I453="Commercial",2,1)))</f>
        <v/>
      </c>
      <c r="L453" s="16">
        <f>IF(G453="","",IF(G453&lt;=20,3,IF(G453&lt;=50,2,1)))</f>
        <v/>
      </c>
      <c r="M453" s="16">
        <f>IF(OR(J453="",K453="",L453=""),"",J453+K453+L453)</f>
        <v/>
      </c>
      <c r="N453" s="11" t="inlineStr">
        <is>
          <t>FAQ</t>
        </is>
      </c>
      <c r="O453" s="12" t="inlineStr">
        <is>
          <t>/blog/measure-developer-productivity-ai</t>
        </is>
      </c>
      <c r="P453" s="12" t="inlineStr">
        <is>
          <t>Interactive guide</t>
        </is>
      </c>
      <c r="Q453" s="14" t="n"/>
      <c r="R453" s="14" t="n"/>
      <c r="S453" s="14" t="n"/>
      <c r="T453" s="12" t="inlineStr">
        <is>
          <t>Not started</t>
        </is>
      </c>
      <c r="U453" s="12" t="inlineStr">
        <is>
          <t>AI-generated idea: confirm real demand before writing a page for it. Good topic for the data report</t>
        </is>
      </c>
    </row>
    <row r="454">
      <c r="A454" s="11" t="n">
        <v>453</v>
      </c>
      <c r="B454" s="12" t="inlineStr">
        <is>
          <t>Are developers completing tasks faster with AI coding assistants?</t>
        </is>
      </c>
      <c r="C454" s="17" t="inlineStr">
        <is>
          <t>AEO</t>
        </is>
      </c>
      <c r="D454" s="12" t="inlineStr">
        <is>
          <t>ChatGPT: manager questions</t>
        </is>
      </c>
      <c r="E454" s="12" t="inlineStr">
        <is>
          <t>Engineering Intelligence</t>
        </is>
      </c>
      <c r="F454" s="13" t="n"/>
      <c r="G454" s="13" t="n"/>
      <c r="H454" s="14" t="n"/>
      <c r="I454" s="12" t="inlineStr">
        <is>
          <t>Informational</t>
        </is>
      </c>
      <c r="J454" s="15" t="n">
        <v>2</v>
      </c>
      <c r="K454" s="16">
        <f>IF(I454="","",IF(I454="Transactional",3,IF(I454="Commercial",2,1)))</f>
        <v/>
      </c>
      <c r="L454" s="16">
        <f>IF(G454="","",IF(G454&lt;=20,3,IF(G454&lt;=50,2,1)))</f>
        <v/>
      </c>
      <c r="M454" s="16">
        <f>IF(OR(J454="",K454="",L454=""),"",J454+K454+L454)</f>
        <v/>
      </c>
      <c r="N454" s="11" t="inlineStr">
        <is>
          <t>FAQ</t>
        </is>
      </c>
      <c r="O454" s="12" t="inlineStr">
        <is>
          <t>/blog/measure-developer-productivity-ai</t>
        </is>
      </c>
      <c r="P454" s="12" t="inlineStr">
        <is>
          <t>Interactive guide</t>
        </is>
      </c>
      <c r="Q454" s="14" t="n"/>
      <c r="R454" s="14" t="n"/>
      <c r="S454" s="14" t="n"/>
      <c r="T454" s="12" t="inlineStr">
        <is>
          <t>Not started</t>
        </is>
      </c>
      <c r="U454" s="12" t="inlineStr">
        <is>
          <t>AI-generated idea: confirm real demand before writing a page for it</t>
        </is>
      </c>
    </row>
    <row r="455">
      <c r="A455" s="11" t="n">
        <v>454</v>
      </c>
      <c r="B455" s="12" t="inlineStr">
        <is>
          <t>How much code is being generated with AI assistance?</t>
        </is>
      </c>
      <c r="C455" s="17" t="inlineStr">
        <is>
          <t>AEO</t>
        </is>
      </c>
      <c r="D455" s="12" t="inlineStr">
        <is>
          <t>ChatGPT: manager questions</t>
        </is>
      </c>
      <c r="E455" s="12" t="inlineStr">
        <is>
          <t>Engineering Intelligence</t>
        </is>
      </c>
      <c r="F455" s="13" t="n"/>
      <c r="G455" s="13" t="n"/>
      <c r="H455" s="14" t="n"/>
      <c r="I455" s="12" t="inlineStr">
        <is>
          <t>Informational</t>
        </is>
      </c>
      <c r="J455" s="15" t="n">
        <v>2</v>
      </c>
      <c r="K455" s="16">
        <f>IF(I455="","",IF(I455="Transactional",3,IF(I455="Commercial",2,1)))</f>
        <v/>
      </c>
      <c r="L455" s="16">
        <f>IF(G455="","",IF(G455&lt;=20,3,IF(G455&lt;=50,2,1)))</f>
        <v/>
      </c>
      <c r="M455" s="16">
        <f>IF(OR(J455="",K455="",L455=""),"",J455+K455+L455)</f>
        <v/>
      </c>
      <c r="N455" s="11" t="inlineStr">
        <is>
          <t>FAQ</t>
        </is>
      </c>
      <c r="O455" s="12" t="inlineStr">
        <is>
          <t>/blog/ai-coding-data-report</t>
        </is>
      </c>
      <c r="P455" s="12" t="inlineStr">
        <is>
          <t>Blog</t>
        </is>
      </c>
      <c r="Q455" s="14" t="n"/>
      <c r="R455" s="14" t="n"/>
      <c r="S455" s="14" t="n"/>
      <c r="T455" s="12" t="inlineStr">
        <is>
          <t>Not started</t>
        </is>
      </c>
      <c r="U455" s="12" t="inlineStr">
        <is>
          <t>AI-generated idea: confirm real demand before writing a page for it. Kite Pulse shows lines changed, not AI vs human split</t>
        </is>
      </c>
    </row>
    <row r="456">
      <c r="A456" s="11" t="n">
        <v>455</v>
      </c>
      <c r="B456" s="12" t="inlineStr">
        <is>
          <t>Are AI coding tools reducing development time?</t>
        </is>
      </c>
      <c r="C456" s="17" t="inlineStr">
        <is>
          <t>AEO</t>
        </is>
      </c>
      <c r="D456" s="12" t="inlineStr">
        <is>
          <t>ChatGPT: manager questions</t>
        </is>
      </c>
      <c r="E456" s="12" t="inlineStr">
        <is>
          <t>Engineering Intelligence</t>
        </is>
      </c>
      <c r="F456" s="13" t="n"/>
      <c r="G456" s="13" t="n"/>
      <c r="H456" s="14" t="n"/>
      <c r="I456" s="12" t="inlineStr">
        <is>
          <t>Informational</t>
        </is>
      </c>
      <c r="J456" s="15" t="n">
        <v>2</v>
      </c>
      <c r="K456" s="16">
        <f>IF(I456="","",IF(I456="Transactional",3,IF(I456="Commercial",2,1)))</f>
        <v/>
      </c>
      <c r="L456" s="16">
        <f>IF(G456="","",IF(G456&lt;=20,3,IF(G456&lt;=50,2,1)))</f>
        <v/>
      </c>
      <c r="M456" s="16">
        <f>IF(OR(J456="",K456="",L456=""),"",J456+K456+L456)</f>
        <v/>
      </c>
      <c r="N456" s="11" t="inlineStr">
        <is>
          <t>FAQ</t>
        </is>
      </c>
      <c r="O456" s="12" t="inlineStr">
        <is>
          <t>/blog/measure-developer-productivity-ai</t>
        </is>
      </c>
      <c r="P456" s="12" t="inlineStr">
        <is>
          <t>Interactive guide</t>
        </is>
      </c>
      <c r="Q456" s="14" t="n"/>
      <c r="R456" s="14" t="n"/>
      <c r="S456" s="14" t="n"/>
      <c r="T456" s="12" t="inlineStr">
        <is>
          <t>Not started</t>
        </is>
      </c>
      <c r="U456" s="12" t="inlineStr">
        <is>
          <t>AI-generated idea: confirm real demand before writing a page for it</t>
        </is>
      </c>
    </row>
    <row r="457">
      <c r="A457" s="11" t="n">
        <v>456</v>
      </c>
      <c r="B457" s="12" t="inlineStr">
        <is>
          <t>Are AI-generated changes increasing code review time?</t>
        </is>
      </c>
      <c r="C457" s="17" t="inlineStr">
        <is>
          <t>AEO</t>
        </is>
      </c>
      <c r="D457" s="12" t="inlineStr">
        <is>
          <t>ChatGPT: manager questions</t>
        </is>
      </c>
      <c r="E457" s="12" t="inlineStr">
        <is>
          <t>Engineering Intelligence</t>
        </is>
      </c>
      <c r="F457" s="13" t="n"/>
      <c r="G457" s="13" t="n"/>
      <c r="H457" s="14" t="n"/>
      <c r="I457" s="12" t="inlineStr">
        <is>
          <t>Informational</t>
        </is>
      </c>
      <c r="J457" s="15" t="n">
        <v>1</v>
      </c>
      <c r="K457" s="16">
        <f>IF(I457="","",IF(I457="Transactional",3,IF(I457="Commercial",2,1)))</f>
        <v/>
      </c>
      <c r="L457" s="16">
        <f>IF(G457="","",IF(G457&lt;=20,3,IF(G457&lt;=50,2,1)))</f>
        <v/>
      </c>
      <c r="M457" s="16">
        <f>IF(OR(J457="",K457="",L457=""),"",J457+K457+L457)</f>
        <v/>
      </c>
      <c r="N457" s="11" t="inlineStr">
        <is>
          <t>FAQ</t>
        </is>
      </c>
      <c r="O457" s="12" t="inlineStr">
        <is>
          <t>/blog/measure-developer-productivity-ai</t>
        </is>
      </c>
      <c r="P457" s="12" t="inlineStr">
        <is>
          <t>Interactive guide</t>
        </is>
      </c>
      <c r="Q457" s="14" t="n"/>
      <c r="R457" s="14" t="n"/>
      <c r="S457" s="14" t="n"/>
      <c r="T457" s="12" t="inlineStr">
        <is>
          <t>Not started</t>
        </is>
      </c>
      <c r="U457" s="12" t="inlineStr">
        <is>
          <t>AI-generated idea: confirm real demand before writing a page for it. Kite Pulse does not measure code review</t>
        </is>
      </c>
    </row>
    <row r="458">
      <c r="A458" s="11" t="n">
        <v>457</v>
      </c>
      <c r="B458" s="12" t="inlineStr">
        <is>
          <t>Is AI usage affecting the quality of our code?</t>
        </is>
      </c>
      <c r="C458" s="17" t="inlineStr">
        <is>
          <t>AEO</t>
        </is>
      </c>
      <c r="D458" s="12" t="inlineStr">
        <is>
          <t>ChatGPT: manager questions</t>
        </is>
      </c>
      <c r="E458" s="12" t="inlineStr">
        <is>
          <t>Engineering Intelligence</t>
        </is>
      </c>
      <c r="F458" s="13" t="n"/>
      <c r="G458" s="13" t="n"/>
      <c r="H458" s="14" t="n"/>
      <c r="I458" s="12" t="inlineStr">
        <is>
          <t>Informational</t>
        </is>
      </c>
      <c r="J458" s="15" t="n">
        <v>1</v>
      </c>
      <c r="K458" s="16">
        <f>IF(I458="","",IF(I458="Transactional",3,IF(I458="Commercial",2,1)))</f>
        <v/>
      </c>
      <c r="L458" s="16">
        <f>IF(G458="","",IF(G458&lt;=20,3,IF(G458&lt;=50,2,1)))</f>
        <v/>
      </c>
      <c r="M458" s="16">
        <f>IF(OR(J458="",K458="",L458=""),"",J458+K458+L458)</f>
        <v/>
      </c>
      <c r="N458" s="11" t="inlineStr">
        <is>
          <t>FAQ</t>
        </is>
      </c>
      <c r="O458" s="12" t="inlineStr">
        <is>
          <t>/blog/measure-developer-productivity-ai</t>
        </is>
      </c>
      <c r="P458" s="12" t="inlineStr">
        <is>
          <t>Interactive guide</t>
        </is>
      </c>
      <c r="Q458" s="14" t="n"/>
      <c r="R458" s="14" t="n"/>
      <c r="S458" s="14" t="n"/>
      <c r="T458" s="12" t="inlineStr">
        <is>
          <t>Not started</t>
        </is>
      </c>
      <c r="U458" s="12" t="inlineStr">
        <is>
          <t>AI-generated idea: confirm real demand before writing a page for it. Kite Pulse is not a code-quality scanner</t>
        </is>
      </c>
    </row>
    <row r="459">
      <c r="A459" s="11" t="n">
        <v>458</v>
      </c>
      <c r="B459" s="12" t="inlineStr">
        <is>
          <t>Are developers spending less time on repetitive coding tasks?</t>
        </is>
      </c>
      <c r="C459" s="17" t="inlineStr">
        <is>
          <t>AEO</t>
        </is>
      </c>
      <c r="D459" s="12" t="inlineStr">
        <is>
          <t>ChatGPT: manager questions</t>
        </is>
      </c>
      <c r="E459" s="12" t="inlineStr">
        <is>
          <t>Engineering Intelligence</t>
        </is>
      </c>
      <c r="F459" s="13" t="n"/>
      <c r="G459" s="13" t="n"/>
      <c r="H459" s="14" t="n"/>
      <c r="I459" s="12" t="inlineStr">
        <is>
          <t>Informational</t>
        </is>
      </c>
      <c r="J459" s="15" t="n">
        <v>2</v>
      </c>
      <c r="K459" s="16">
        <f>IF(I459="","",IF(I459="Transactional",3,IF(I459="Commercial",2,1)))</f>
        <v/>
      </c>
      <c r="L459" s="16">
        <f>IF(G459="","",IF(G459&lt;=20,3,IF(G459&lt;=50,2,1)))</f>
        <v/>
      </c>
      <c r="M459" s="16">
        <f>IF(OR(J459="",K459="",L459=""),"",J459+K459+L459)</f>
        <v/>
      </c>
      <c r="N459" s="11" t="inlineStr">
        <is>
          <t>FAQ</t>
        </is>
      </c>
      <c r="O459" s="12" t="inlineStr">
        <is>
          <t>/blog/measure-developer-productivity-ai</t>
        </is>
      </c>
      <c r="P459" s="12" t="inlineStr">
        <is>
          <t>Interactive guide</t>
        </is>
      </c>
      <c r="Q459" s="14" t="n"/>
      <c r="R459" s="14" t="n"/>
      <c r="S459" s="14" t="n"/>
      <c r="T459" s="12" t="inlineStr">
        <is>
          <t>Not started</t>
        </is>
      </c>
      <c r="U459" s="12" t="inlineStr">
        <is>
          <t>AI-generated idea: confirm real demand before writing a page for it. Work classification (optional AI feature)</t>
        </is>
      </c>
    </row>
    <row r="460">
      <c r="A460" s="11" t="n">
        <v>459</v>
      </c>
      <c r="B460" s="12" t="inlineStr">
        <is>
          <t>How can I measure the ROI of our AI coding-tool investment?</t>
        </is>
      </c>
      <c r="C460" s="17" t="inlineStr">
        <is>
          <t>AEO</t>
        </is>
      </c>
      <c r="D460" s="12" t="inlineStr">
        <is>
          <t>ChatGPT: manager questions</t>
        </is>
      </c>
      <c r="E460" s="12" t="inlineStr">
        <is>
          <t>Cost</t>
        </is>
      </c>
      <c r="F460" s="13" t="n"/>
      <c r="G460" s="13" t="n"/>
      <c r="H460" s="14" t="n"/>
      <c r="I460" s="12" t="inlineStr">
        <is>
          <t>Informational</t>
        </is>
      </c>
      <c r="J460" s="15" t="n">
        <v>2</v>
      </c>
      <c r="K460" s="16">
        <f>IF(I460="","",IF(I460="Transactional",3,IF(I460="Commercial",2,1)))</f>
        <v/>
      </c>
      <c r="L460" s="16">
        <f>IF(G460="","",IF(G460&lt;=20,3,IF(G460&lt;=50,2,1)))</f>
        <v/>
      </c>
      <c r="M460" s="16">
        <f>IF(OR(J460="",K460="",L460=""),"",J460+K460+L460)</f>
        <v/>
      </c>
      <c r="N460" s="11" t="inlineStr">
        <is>
          <t>FAQ</t>
        </is>
      </c>
      <c r="O460" s="12" t="inlineStr">
        <is>
          <t>/blog/ai-coding-roi</t>
        </is>
      </c>
      <c r="P460" s="12" t="inlineStr">
        <is>
          <t>Interactive guide</t>
        </is>
      </c>
      <c r="Q460" s="14" t="n"/>
      <c r="R460" s="14" t="n"/>
      <c r="S460" s="14" t="n"/>
      <c r="T460" s="12" t="inlineStr">
        <is>
          <t>Not started</t>
        </is>
      </c>
      <c r="U460" s="12" t="inlineStr">
        <is>
          <t>AI-generated idea: confirm real demand before writing a page for it</t>
        </is>
      </c>
    </row>
    <row r="461">
      <c r="A461" s="11" t="n">
        <v>460</v>
      </c>
      <c r="B461" s="12" t="inlineStr">
        <is>
          <t>How can I see AI coding-tool usage across my entire engineering organization?</t>
        </is>
      </c>
      <c r="C461" s="17" t="inlineStr">
        <is>
          <t>AEO</t>
        </is>
      </c>
      <c r="D461" s="12" t="inlineStr">
        <is>
          <t>ChatGPT: manager questions</t>
        </is>
      </c>
      <c r="E461" s="12" t="inlineStr">
        <is>
          <t>Category</t>
        </is>
      </c>
      <c r="F461" s="13" t="n"/>
      <c r="G461" s="13" t="n"/>
      <c r="H461" s="14" t="n"/>
      <c r="I461" s="12" t="inlineStr">
        <is>
          <t>Commercial</t>
        </is>
      </c>
      <c r="J461" s="15" t="n">
        <v>3</v>
      </c>
      <c r="K461" s="16">
        <f>IF(I461="","",IF(I461="Transactional",3,IF(I461="Commercial",2,1)))</f>
        <v/>
      </c>
      <c r="L461" s="16">
        <f>IF(G461="","",IF(G461&lt;=20,3,IF(G461&lt;=50,2,1)))</f>
        <v/>
      </c>
      <c r="M461" s="16">
        <f>IF(OR(J461="",K461="",L461=""),"",J461+K461+L461)</f>
        <v/>
      </c>
      <c r="N461" s="11" t="inlineStr">
        <is>
          <t>FAQ</t>
        </is>
      </c>
      <c r="O461" s="12" t="inlineStr">
        <is>
          <t>/ai-coding-analytics</t>
        </is>
      </c>
      <c r="P461" s="12" t="inlineStr">
        <is>
          <t>Solution</t>
        </is>
      </c>
      <c r="Q461" s="14" t="n"/>
      <c r="R461" s="14" t="n"/>
      <c r="S461" s="14" t="n"/>
      <c r="T461" s="12" t="inlineStr">
        <is>
          <t>Not started</t>
        </is>
      </c>
      <c r="U461" s="12" t="inlineStr">
        <is>
          <t>AI-generated idea: confirm real demand before writing a page for it. Company Overview</t>
        </is>
      </c>
    </row>
    <row r="462">
      <c r="A462" s="11" t="n">
        <v>461</v>
      </c>
      <c r="B462" s="12" t="inlineStr">
        <is>
          <t>Can I compare AI usage between teams?</t>
        </is>
      </c>
      <c r="C462" s="17" t="inlineStr">
        <is>
          <t>AEO</t>
        </is>
      </c>
      <c r="D462" s="12" t="inlineStr">
        <is>
          <t>ChatGPT: manager questions</t>
        </is>
      </c>
      <c r="E462" s="12" t="inlineStr">
        <is>
          <t>Category</t>
        </is>
      </c>
      <c r="F462" s="13" t="n"/>
      <c r="G462" s="13" t="n"/>
      <c r="H462" s="14" t="n"/>
      <c r="I462" s="12" t="inlineStr">
        <is>
          <t>Commercial</t>
        </is>
      </c>
      <c r="J462" s="15" t="n">
        <v>3</v>
      </c>
      <c r="K462" s="16">
        <f>IF(I462="","",IF(I462="Transactional",3,IF(I462="Commercial",2,1)))</f>
        <v/>
      </c>
      <c r="L462" s="16">
        <f>IF(G462="","",IF(G462&lt;=20,3,IF(G462&lt;=50,2,1)))</f>
        <v/>
      </c>
      <c r="M462" s="16">
        <f>IF(OR(J462="",K462="",L462=""),"",J462+K462+L462)</f>
        <v/>
      </c>
      <c r="N462" s="11" t="inlineStr">
        <is>
          <t>FAQ</t>
        </is>
      </c>
      <c r="O462" s="12" t="inlineStr">
        <is>
          <t>/ai-coding-analytics</t>
        </is>
      </c>
      <c r="P462" s="12" t="inlineStr">
        <is>
          <t>Solution</t>
        </is>
      </c>
      <c r="Q462" s="14" t="n"/>
      <c r="R462" s="14" t="n"/>
      <c r="S462" s="14" t="n"/>
      <c r="T462" s="12" t="inlineStr">
        <is>
          <t>Not started</t>
        </is>
      </c>
      <c r="U462" s="12" t="inlineStr">
        <is>
          <t>AI-generated idea: confirm real demand before writing a page for it. Teams page</t>
        </is>
      </c>
    </row>
    <row r="463">
      <c r="A463" s="11" t="n">
        <v>462</v>
      </c>
      <c r="B463" s="12" t="inlineStr">
        <is>
          <t>Can I see usage by individual developer without creating a surveillance problem?</t>
        </is>
      </c>
      <c r="C463" s="17" t="inlineStr">
        <is>
          <t>AEO</t>
        </is>
      </c>
      <c r="D463" s="12" t="inlineStr">
        <is>
          <t>ChatGPT: manager questions</t>
        </is>
      </c>
      <c r="E463" s="12" t="inlineStr">
        <is>
          <t>Privacy &amp; Self-hosted</t>
        </is>
      </c>
      <c r="F463" s="13" t="n"/>
      <c r="G463" s="13" t="n"/>
      <c r="H463" s="14" t="n"/>
      <c r="I463" s="12" t="inlineStr">
        <is>
          <t>Commercial</t>
        </is>
      </c>
      <c r="J463" s="15" t="n">
        <v>3</v>
      </c>
      <c r="K463" s="16">
        <f>IF(I463="","",IF(I463="Transactional",3,IF(I463="Commercial",2,1)))</f>
        <v/>
      </c>
      <c r="L463" s="16">
        <f>IF(G463="","",IF(G463&lt;=20,3,IF(G463&lt;=50,2,1)))</f>
        <v/>
      </c>
      <c r="M463" s="16">
        <f>IF(OR(J463="",K463="",L463=""),"",J463+K463+L463)</f>
        <v/>
      </c>
      <c r="N463" s="11" t="inlineStr">
        <is>
          <t>FAQ</t>
        </is>
      </c>
      <c r="O463" s="12" t="inlineStr">
        <is>
          <t>/privacy</t>
        </is>
      </c>
      <c r="P463" s="12" t="inlineStr">
        <is>
          <t>Trust</t>
        </is>
      </c>
      <c r="Q463" s="14" t="n"/>
      <c r="R463" s="14" t="n"/>
      <c r="S463" s="14" t="n"/>
      <c r="T463" s="12" t="inlineStr">
        <is>
          <t>Not started</t>
        </is>
      </c>
      <c r="U463" s="12" t="inlineStr">
        <is>
          <t>AI-generated idea: confirm real demand before writing a page for it. Strong trust question</t>
        </is>
      </c>
    </row>
    <row r="464">
      <c r="A464" s="11" t="n">
        <v>463</v>
      </c>
      <c r="B464" s="12" t="inlineStr">
        <is>
          <t>What AI coding tools should we standardize on?</t>
        </is>
      </c>
      <c r="C464" s="17" t="inlineStr">
        <is>
          <t>AEO</t>
        </is>
      </c>
      <c r="D464" s="12" t="inlineStr">
        <is>
          <t>ChatGPT: manager questions</t>
        </is>
      </c>
      <c r="E464" s="12" t="inlineStr">
        <is>
          <t>Multi-tool</t>
        </is>
      </c>
      <c r="F464" s="13" t="n"/>
      <c r="G464" s="13" t="n"/>
      <c r="H464" s="14" t="n"/>
      <c r="I464" s="12" t="inlineStr">
        <is>
          <t>Informational</t>
        </is>
      </c>
      <c r="J464" s="15" t="n">
        <v>2</v>
      </c>
      <c r="K464" s="16">
        <f>IF(I464="","",IF(I464="Transactional",3,IF(I464="Commercial",2,1)))</f>
        <v/>
      </c>
      <c r="L464" s="16">
        <f>IF(G464="","",IF(G464&lt;=20,3,IF(G464&lt;=50,2,1)))</f>
        <v/>
      </c>
      <c r="M464" s="16">
        <f>IF(OR(J464="",K464="",L464=""),"",J464+K464+L464)</f>
        <v/>
      </c>
      <c r="N464" s="11" t="inlineStr">
        <is>
          <t>FAQ</t>
        </is>
      </c>
      <c r="O464" s="12" t="inlineStr">
        <is>
          <t>/blog/claude-code-vs-cursor</t>
        </is>
      </c>
      <c r="P464" s="12" t="inlineStr">
        <is>
          <t>Blog</t>
        </is>
      </c>
      <c r="Q464" s="14" t="n"/>
      <c r="R464" s="14" t="n"/>
      <c r="S464" s="14" t="n"/>
      <c r="T464" s="12" t="inlineStr">
        <is>
          <t>Not started</t>
        </is>
      </c>
      <c r="U464" s="12" t="inlineStr">
        <is>
          <t>AI-generated idea: confirm real demand before writing a page for it</t>
        </is>
      </c>
    </row>
    <row r="465">
      <c r="A465" s="11" t="n">
        <v>464</v>
      </c>
      <c r="B465" s="12" t="inlineStr">
        <is>
          <t>Should we allow developers to use multiple AI coding assistants?</t>
        </is>
      </c>
      <c r="C465" s="17" t="inlineStr">
        <is>
          <t>AEO</t>
        </is>
      </c>
      <c r="D465" s="12" t="inlineStr">
        <is>
          <t>ChatGPT: manager questions</t>
        </is>
      </c>
      <c r="E465" s="12" t="inlineStr">
        <is>
          <t>Multi-tool</t>
        </is>
      </c>
      <c r="F465" s="13" t="n"/>
      <c r="G465" s="13" t="n"/>
      <c r="H465" s="14" t="n"/>
      <c r="I465" s="12" t="inlineStr">
        <is>
          <t>Informational</t>
        </is>
      </c>
      <c r="J465" s="15" t="n">
        <v>2</v>
      </c>
      <c r="K465" s="16">
        <f>IF(I465="","",IF(I465="Transactional",3,IF(I465="Commercial",2,1)))</f>
        <v/>
      </c>
      <c r="L465" s="16">
        <f>IF(G465="","",IF(G465&lt;=20,3,IF(G465&lt;=50,2,1)))</f>
        <v/>
      </c>
      <c r="M465" s="16">
        <f>IF(OR(J465="",K465="",L465=""),"",J465+K465+L465)</f>
        <v/>
      </c>
      <c r="N465" s="11" t="inlineStr">
        <is>
          <t>FAQ</t>
        </is>
      </c>
      <c r="O465" s="12" t="inlineStr">
        <is>
          <t>/blog/claude-code-vs-cursor</t>
        </is>
      </c>
      <c r="P465" s="12" t="inlineStr">
        <is>
          <t>Blog</t>
        </is>
      </c>
      <c r="Q465" s="14" t="n"/>
      <c r="R465" s="14" t="n"/>
      <c r="S465" s="14" t="n"/>
      <c r="T465" s="12" t="inlineStr">
        <is>
          <t>Not started</t>
        </is>
      </c>
      <c r="U465" s="12" t="inlineStr">
        <is>
          <t>AI-generated idea: confirm real demand before writing a page for it</t>
        </is>
      </c>
    </row>
    <row r="466">
      <c r="A466" s="11" t="n">
        <v>465</v>
      </c>
      <c r="B466" s="12" t="inlineStr">
        <is>
          <t>How can I identify teams that need more AI training?</t>
        </is>
      </c>
      <c r="C466" s="17" t="inlineStr">
        <is>
          <t>AEO</t>
        </is>
      </c>
      <c r="D466" s="12" t="inlineStr">
        <is>
          <t>ChatGPT: manager questions</t>
        </is>
      </c>
      <c r="E466" s="12" t="inlineStr">
        <is>
          <t>Engineering Intelligence</t>
        </is>
      </c>
      <c r="F466" s="13" t="n"/>
      <c r="G466" s="13" t="n"/>
      <c r="H466" s="14" t="n"/>
      <c r="I466" s="12" t="inlineStr">
        <is>
          <t>Commercial</t>
        </is>
      </c>
      <c r="J466" s="15" t="n">
        <v>2</v>
      </c>
      <c r="K466" s="16">
        <f>IF(I466="","",IF(I466="Transactional",3,IF(I466="Commercial",2,1)))</f>
        <v/>
      </c>
      <c r="L466" s="16">
        <f>IF(G466="","",IF(G466&lt;=20,3,IF(G466&lt;=50,2,1)))</f>
        <v/>
      </c>
      <c r="M466" s="16">
        <f>IF(OR(J466="",K466="",L466=""),"",J466+K466+L466)</f>
        <v/>
      </c>
      <c r="N466" s="11" t="inlineStr">
        <is>
          <t>FAQ</t>
        </is>
      </c>
      <c r="O466" s="12" t="inlineStr">
        <is>
          <t>/engineering-intelligence</t>
        </is>
      </c>
      <c r="P466" s="12" t="inlineStr">
        <is>
          <t>Solution</t>
        </is>
      </c>
      <c r="Q466" s="14" t="n"/>
      <c r="R466" s="14" t="n"/>
      <c r="S466" s="14" t="n"/>
      <c r="T466" s="12" t="inlineStr">
        <is>
          <t>Not started</t>
        </is>
      </c>
      <c r="U466" s="12" t="inlineStr">
        <is>
          <t>AI-generated idea: confirm real demand before writing a page for it</t>
        </is>
      </c>
    </row>
    <row r="467">
      <c r="A467" s="11" t="n">
        <v>466</v>
      </c>
      <c r="B467" s="12" t="inlineStr">
        <is>
          <t>How do I set an AI coding-tool budget for each team?</t>
        </is>
      </c>
      <c r="C467" s="17" t="inlineStr">
        <is>
          <t>AEO</t>
        </is>
      </c>
      <c r="D467" s="12" t="inlineStr">
        <is>
          <t>ChatGPT: manager questions</t>
        </is>
      </c>
      <c r="E467" s="12" t="inlineStr">
        <is>
          <t>Cost</t>
        </is>
      </c>
      <c r="F467" s="13" t="n"/>
      <c r="G467" s="13" t="n"/>
      <c r="H467" s="14" t="n"/>
      <c r="I467" s="12" t="inlineStr">
        <is>
          <t>Commercial</t>
        </is>
      </c>
      <c r="J467" s="15" t="n">
        <v>3</v>
      </c>
      <c r="K467" s="16">
        <f>IF(I467="","",IF(I467="Transactional",3,IF(I467="Commercial",2,1)))</f>
        <v/>
      </c>
      <c r="L467" s="16">
        <f>IF(G467="","",IF(G467&lt;=20,3,IF(G467&lt;=50,2,1)))</f>
        <v/>
      </c>
      <c r="M467" s="16">
        <f>IF(OR(J467="",K467="",L467=""),"",J467+K467+L467)</f>
        <v/>
      </c>
      <c r="N467" s="11" t="inlineStr">
        <is>
          <t>FAQ</t>
        </is>
      </c>
      <c r="O467" s="12" t="inlineStr">
        <is>
          <t>/ai-cost-tracking</t>
        </is>
      </c>
      <c r="P467" s="12" t="inlineStr">
        <is>
          <t>Interactive guide</t>
        </is>
      </c>
      <c r="Q467" s="14" t="n"/>
      <c r="R467" s="14" t="n"/>
      <c r="S467" s="14" t="n"/>
      <c r="T467" s="12" t="inlineStr">
        <is>
          <t>Not started</t>
        </is>
      </c>
      <c r="U467" s="12" t="inlineStr">
        <is>
          <t>AI-generated idea: confirm real demand before writing a page for it</t>
        </is>
      </c>
    </row>
    <row r="468">
      <c r="A468" s="11" t="n">
        <v>467</v>
      </c>
      <c r="B468" s="12" t="inlineStr">
        <is>
          <t>Can I detect unused or underused AI subscriptions?</t>
        </is>
      </c>
      <c r="C468" s="17" t="inlineStr">
        <is>
          <t>AEO</t>
        </is>
      </c>
      <c r="D468" s="12" t="inlineStr">
        <is>
          <t>ChatGPT: manager questions</t>
        </is>
      </c>
      <c r="E468" s="12" t="inlineStr">
        <is>
          <t>Shadow AI &amp; Seats</t>
        </is>
      </c>
      <c r="F468" s="13" t="n"/>
      <c r="G468" s="13" t="n"/>
      <c r="H468" s="14" t="n"/>
      <c r="I468" s="12" t="inlineStr">
        <is>
          <t>Commercial</t>
        </is>
      </c>
      <c r="J468" s="15" t="n">
        <v>3</v>
      </c>
      <c r="K468" s="16">
        <f>IF(I468="","",IF(I468="Transactional",3,IF(I468="Commercial",2,1)))</f>
        <v/>
      </c>
      <c r="L468" s="16">
        <f>IF(G468="","",IF(G468&lt;=20,3,IF(G468&lt;=50,2,1)))</f>
        <v/>
      </c>
      <c r="M468" s="16">
        <f>IF(OR(J468="",K468="",L468=""),"",J468+K468+L468)</f>
        <v/>
      </c>
      <c r="N468" s="11" t="inlineStr">
        <is>
          <t>FAQ</t>
        </is>
      </c>
      <c r="O468" s="12" t="inlineStr">
        <is>
          <t>/shadow-ai</t>
        </is>
      </c>
      <c r="P468" s="12" t="inlineStr">
        <is>
          <t>Solution</t>
        </is>
      </c>
      <c r="Q468" s="14" t="n"/>
      <c r="R468" s="14" t="n"/>
      <c r="S468" s="14" t="n"/>
      <c r="T468" s="12" t="inlineStr">
        <is>
          <t>Not started</t>
        </is>
      </c>
      <c r="U468" s="12" t="inlineStr">
        <is>
          <t>AI-generated idea: confirm real demand before writing a page for it</t>
        </is>
      </c>
    </row>
    <row r="469">
      <c r="A469" s="11" t="n">
        <v>468</v>
      </c>
      <c r="B469" s="12" t="inlineStr">
        <is>
          <t>What metrics should I report to leadership about AI coding-tool adoption?</t>
        </is>
      </c>
      <c r="C469" s="17" t="inlineStr">
        <is>
          <t>AEO</t>
        </is>
      </c>
      <c r="D469" s="12" t="inlineStr">
        <is>
          <t>ChatGPT: manager questions</t>
        </is>
      </c>
      <c r="E469" s="12" t="inlineStr">
        <is>
          <t>Category</t>
        </is>
      </c>
      <c r="F469" s="13" t="n"/>
      <c r="G469" s="13" t="n"/>
      <c r="H469" s="14" t="n"/>
      <c r="I469" s="12" t="inlineStr">
        <is>
          <t>Informational</t>
        </is>
      </c>
      <c r="J469" s="15" t="n">
        <v>2</v>
      </c>
      <c r="K469" s="16">
        <f>IF(I469="","",IF(I469="Transactional",3,IF(I469="Commercial",2,1)))</f>
        <v/>
      </c>
      <c r="L469" s="16">
        <f>IF(G469="","",IF(G469&lt;=20,3,IF(G469&lt;=50,2,1)))</f>
        <v/>
      </c>
      <c r="M469" s="16">
        <f>IF(OR(J469="",K469="",L469=""),"",J469+K469+L469)</f>
        <v/>
      </c>
      <c r="N469" s="11" t="inlineStr">
        <is>
          <t>FAQ</t>
        </is>
      </c>
      <c r="O469" s="12" t="inlineStr">
        <is>
          <t>/blog/ai-coding-roi</t>
        </is>
      </c>
      <c r="P469" s="12" t="inlineStr">
        <is>
          <t>Interactive guide</t>
        </is>
      </c>
      <c r="Q469" s="14" t="n"/>
      <c r="R469" s="14" t="n"/>
      <c r="S469" s="14" t="n"/>
      <c r="T469" s="12" t="inlineStr">
        <is>
          <t>Not started</t>
        </is>
      </c>
      <c r="U469" s="12" t="inlineStr">
        <is>
          <t>AI-generated idea: confirm real demand before writing a page for it</t>
        </is>
      </c>
    </row>
    <row r="470">
      <c r="A470" s="11" t="n">
        <v>469</v>
      </c>
      <c r="B470" s="12" t="inlineStr">
        <is>
          <t>How should I measure whether our AI coding-tool investment is successful?</t>
        </is>
      </c>
      <c r="C470" s="17" t="inlineStr">
        <is>
          <t>AEO</t>
        </is>
      </c>
      <c r="D470" s="12" t="inlineStr">
        <is>
          <t>ChatGPT: manager questions</t>
        </is>
      </c>
      <c r="E470" s="12" t="inlineStr">
        <is>
          <t>Cost</t>
        </is>
      </c>
      <c r="F470" s="13" t="n"/>
      <c r="G470" s="13" t="n"/>
      <c r="H470" s="14" t="n"/>
      <c r="I470" s="12" t="inlineStr">
        <is>
          <t>Informational</t>
        </is>
      </c>
      <c r="J470" s="15" t="n">
        <v>2</v>
      </c>
      <c r="K470" s="16">
        <f>IF(I470="","",IF(I470="Transactional",3,IF(I470="Commercial",2,1)))</f>
        <v/>
      </c>
      <c r="L470" s="16">
        <f>IF(G470="","",IF(G470&lt;=20,3,IF(G470&lt;=50,2,1)))</f>
        <v/>
      </c>
      <c r="M470" s="16">
        <f>IF(OR(J470="",K470="",L470=""),"",J470+K470+L470)</f>
        <v/>
      </c>
      <c r="N470" s="11" t="inlineStr">
        <is>
          <t>FAQ</t>
        </is>
      </c>
      <c r="O470" s="12" t="inlineStr">
        <is>
          <t>/blog/ai-coding-roi</t>
        </is>
      </c>
      <c r="P470" s="12" t="inlineStr">
        <is>
          <t>Interactive guide</t>
        </is>
      </c>
      <c r="Q470" s="14" t="n"/>
      <c r="R470" s="14" t="n"/>
      <c r="S470" s="14" t="n"/>
      <c r="T470" s="12" t="inlineStr">
        <is>
          <t>Not started</t>
        </is>
      </c>
      <c r="U470" s="12" t="inlineStr">
        <is>
          <t>AI-generated idea: confirm real demand before writing a page for it</t>
        </is>
      </c>
    </row>
    <row r="471">
      <c r="A471" s="11" t="n">
        <v>470</v>
      </c>
      <c r="B471" s="12" t="inlineStr">
        <is>
          <t>How much are we spending across all our AI coding assistants each month?</t>
        </is>
      </c>
      <c r="C471" s="17" t="inlineStr">
        <is>
          <t>AEO</t>
        </is>
      </c>
      <c r="D471" s="12" t="inlineStr">
        <is>
          <t>ChatGPT: CTO buying questions</t>
        </is>
      </c>
      <c r="E471" s="12" t="inlineStr">
        <is>
          <t>Cost</t>
        </is>
      </c>
      <c r="F471" s="13" t="n"/>
      <c r="G471" s="13" t="n"/>
      <c r="H471" s="14" t="n"/>
      <c r="I471" s="12" t="inlineStr">
        <is>
          <t>Commercial</t>
        </is>
      </c>
      <c r="J471" s="15" t="n">
        <v>3</v>
      </c>
      <c r="K471" s="16">
        <f>IF(I471="","",IF(I471="Transactional",3,IF(I471="Commercial",2,1)))</f>
        <v/>
      </c>
      <c r="L471" s="16">
        <f>IF(G471="","",IF(G471&lt;=20,3,IF(G471&lt;=50,2,1)))</f>
        <v/>
      </c>
      <c r="M471" s="16">
        <f>IF(OR(J471="",K471="",L471=""),"",J471+K471+L471)</f>
        <v/>
      </c>
      <c r="N471" s="11" t="inlineStr">
        <is>
          <t>FAQ</t>
        </is>
      </c>
      <c r="O471" s="12" t="inlineStr">
        <is>
          <t>/ai-cost-tracking</t>
        </is>
      </c>
      <c r="P471" s="12" t="inlineStr">
        <is>
          <t>Interactive guide</t>
        </is>
      </c>
      <c r="Q471" s="14" t="n"/>
      <c r="R471" s="14" t="n"/>
      <c r="S471" s="14" t="n"/>
      <c r="T471" s="12" t="inlineStr">
        <is>
          <t>Not started</t>
        </is>
      </c>
      <c r="U471" s="12" t="inlineStr">
        <is>
          <t>AI-generated idea: confirm real demand before writing a page for it</t>
        </is>
      </c>
    </row>
    <row r="472">
      <c r="A472" s="11" t="n">
        <v>471</v>
      </c>
      <c r="B472" s="12" t="inlineStr">
        <is>
          <t>Can I track AI coding costs by developer, team, department, and project?</t>
        </is>
      </c>
      <c r="C472" s="17" t="inlineStr">
        <is>
          <t>AEO</t>
        </is>
      </c>
      <c r="D472" s="12" t="inlineStr">
        <is>
          <t>ChatGPT: CTO buying questions</t>
        </is>
      </c>
      <c r="E472" s="12" t="inlineStr">
        <is>
          <t>Cost</t>
        </is>
      </c>
      <c r="F472" s="13" t="n"/>
      <c r="G472" s="13" t="n"/>
      <c r="H472" s="14" t="n"/>
      <c r="I472" s="12" t="inlineStr">
        <is>
          <t>Commercial</t>
        </is>
      </c>
      <c r="J472" s="15" t="n">
        <v>3</v>
      </c>
      <c r="K472" s="16">
        <f>IF(I472="","",IF(I472="Transactional",3,IF(I472="Commercial",2,1)))</f>
        <v/>
      </c>
      <c r="L472" s="16">
        <f>IF(G472="","",IF(G472&lt;=20,3,IF(G472&lt;=50,2,1)))</f>
        <v/>
      </c>
      <c r="M472" s="16">
        <f>IF(OR(J472="",K472="",L472=""),"",J472+K472+L472)</f>
        <v/>
      </c>
      <c r="N472" s="11" t="inlineStr">
        <is>
          <t>FAQ</t>
        </is>
      </c>
      <c r="O472" s="12" t="inlineStr">
        <is>
          <t>/ai-cost-tracking</t>
        </is>
      </c>
      <c r="P472" s="12" t="inlineStr">
        <is>
          <t>Interactive guide</t>
        </is>
      </c>
      <c r="Q472" s="14" t="n"/>
      <c r="R472" s="14" t="n"/>
      <c r="S472" s="14" t="n"/>
      <c r="T472" s="12" t="inlineStr">
        <is>
          <t>Not started</t>
        </is>
      </c>
      <c r="U472" s="12" t="inlineStr">
        <is>
          <t>AI-generated idea: confirm real demand before writing a page for it. Department is not a Kite Pulse dimension; use teams</t>
        </is>
      </c>
    </row>
    <row r="473">
      <c r="A473" s="11" t="n">
        <v>472</v>
      </c>
      <c r="B473" s="12" t="inlineStr">
        <is>
          <t>How much does AI coding assistance cost per developer per month?</t>
        </is>
      </c>
      <c r="C473" s="17" t="inlineStr">
        <is>
          <t>AEO</t>
        </is>
      </c>
      <c r="D473" s="12" t="inlineStr">
        <is>
          <t>ChatGPT: CTO buying questions</t>
        </is>
      </c>
      <c r="E473" s="12" t="inlineStr">
        <is>
          <t>Cost</t>
        </is>
      </c>
      <c r="F473" s="13" t="n"/>
      <c r="G473" s="13" t="n"/>
      <c r="H473" s="14" t="n"/>
      <c r="I473" s="12" t="inlineStr">
        <is>
          <t>Commercial</t>
        </is>
      </c>
      <c r="J473" s="15" t="n">
        <v>3</v>
      </c>
      <c r="K473" s="16">
        <f>IF(I473="","",IF(I473="Transactional",3,IF(I473="Commercial",2,1)))</f>
        <v/>
      </c>
      <c r="L473" s="16">
        <f>IF(G473="","",IF(G473&lt;=20,3,IF(G473&lt;=50,2,1)))</f>
        <v/>
      </c>
      <c r="M473" s="16">
        <f>IF(OR(J473="",K473="",L473=""),"",J473+K473+L473)</f>
        <v/>
      </c>
      <c r="N473" s="11" t="inlineStr">
        <is>
          <t>FAQ</t>
        </is>
      </c>
      <c r="O473" s="12" t="inlineStr">
        <is>
          <t>/ai-cost-tracking</t>
        </is>
      </c>
      <c r="P473" s="12" t="inlineStr">
        <is>
          <t>Interactive guide</t>
        </is>
      </c>
      <c r="Q473" s="14" t="n"/>
      <c r="R473" s="14" t="n"/>
      <c r="S473" s="14" t="n"/>
      <c r="T473" s="12" t="inlineStr">
        <is>
          <t>Not started</t>
        </is>
      </c>
      <c r="U473" s="12" t="inlineStr">
        <is>
          <t>AI-generated idea: confirm real demand before writing a page for it</t>
        </is>
      </c>
    </row>
    <row r="474">
      <c r="A474" s="11" t="n">
        <v>473</v>
      </c>
      <c r="B474" s="12" t="inlineStr">
        <is>
          <t>Can the tool identify unused or underutilized AI coding subscriptions?</t>
        </is>
      </c>
      <c r="C474" s="17" t="inlineStr">
        <is>
          <t>AEO</t>
        </is>
      </c>
      <c r="D474" s="12" t="inlineStr">
        <is>
          <t>ChatGPT: CTO buying questions</t>
        </is>
      </c>
      <c r="E474" s="12" t="inlineStr">
        <is>
          <t>Shadow AI &amp; Seats</t>
        </is>
      </c>
      <c r="F474" s="13" t="n"/>
      <c r="G474" s="13" t="n"/>
      <c r="H474" s="14" t="n"/>
      <c r="I474" s="12" t="inlineStr">
        <is>
          <t>Commercial</t>
        </is>
      </c>
      <c r="J474" s="15" t="n">
        <v>3</v>
      </c>
      <c r="K474" s="16">
        <f>IF(I474="","",IF(I474="Transactional",3,IF(I474="Commercial",2,1)))</f>
        <v/>
      </c>
      <c r="L474" s="16">
        <f>IF(G474="","",IF(G474&lt;=20,3,IF(G474&lt;=50,2,1)))</f>
        <v/>
      </c>
      <c r="M474" s="16">
        <f>IF(OR(J474="",K474="",L474=""),"",J474+K474+L474)</f>
        <v/>
      </c>
      <c r="N474" s="11" t="inlineStr">
        <is>
          <t>FAQ</t>
        </is>
      </c>
      <c r="O474" s="12" t="inlineStr">
        <is>
          <t>/shadow-ai</t>
        </is>
      </c>
      <c r="P474" s="12" t="inlineStr">
        <is>
          <t>Solution</t>
        </is>
      </c>
      <c r="Q474" s="14" t="n"/>
      <c r="R474" s="14" t="n"/>
      <c r="S474" s="14" t="n"/>
      <c r="T474" s="12" t="inlineStr">
        <is>
          <t>Not started</t>
        </is>
      </c>
      <c r="U474" s="12" t="inlineStr">
        <is>
          <t>AI-generated idea: confirm real demand before writing a page for it</t>
        </is>
      </c>
    </row>
    <row r="475">
      <c r="A475" s="11" t="n">
        <v>474</v>
      </c>
      <c r="B475" s="12" t="inlineStr">
        <is>
          <t>How can I reduce our AI coding-tool spending without hurting developer productivity?</t>
        </is>
      </c>
      <c r="C475" s="17" t="inlineStr">
        <is>
          <t>AEO</t>
        </is>
      </c>
      <c r="D475" s="12" t="inlineStr">
        <is>
          <t>ChatGPT: CTO buying questions</t>
        </is>
      </c>
      <c r="E475" s="12" t="inlineStr">
        <is>
          <t>Cost</t>
        </is>
      </c>
      <c r="F475" s="13" t="n"/>
      <c r="G475" s="13" t="n"/>
      <c r="H475" s="14" t="n"/>
      <c r="I475" s="12" t="inlineStr">
        <is>
          <t>Informational</t>
        </is>
      </c>
      <c r="J475" s="15" t="n">
        <v>2</v>
      </c>
      <c r="K475" s="16">
        <f>IF(I475="","",IF(I475="Transactional",3,IF(I475="Commercial",2,1)))</f>
        <v/>
      </c>
      <c r="L475" s="16">
        <f>IF(G475="","",IF(G475&lt;=20,3,IF(G475&lt;=50,2,1)))</f>
        <v/>
      </c>
      <c r="M475" s="16">
        <f>IF(OR(J475="",K475="",L475=""),"",J475+K475+L475)</f>
        <v/>
      </c>
      <c r="N475" s="11" t="inlineStr">
        <is>
          <t>FAQ</t>
        </is>
      </c>
      <c r="O475" s="12" t="inlineStr">
        <is>
          <t>/blog/reduce-ai-coding-costs</t>
        </is>
      </c>
      <c r="P475" s="12" t="inlineStr">
        <is>
          <t>Blog</t>
        </is>
      </c>
      <c r="Q475" s="14" t="n"/>
      <c r="R475" s="14" t="n"/>
      <c r="S475" s="14" t="n"/>
      <c r="T475" s="12" t="inlineStr">
        <is>
          <t>Not started</t>
        </is>
      </c>
      <c r="U475" s="12" t="inlineStr">
        <is>
          <t>AI-generated idea: confirm real demand before writing a page for it</t>
        </is>
      </c>
    </row>
    <row r="476">
      <c r="A476" s="11" t="n">
        <v>475</v>
      </c>
      <c r="B476" s="12" t="inlineStr">
        <is>
          <t>Can I set spending limits and receive alerts when teams exceed their budgets?</t>
        </is>
      </c>
      <c r="C476" s="17" t="inlineStr">
        <is>
          <t>AEO</t>
        </is>
      </c>
      <c r="D476" s="12" t="inlineStr">
        <is>
          <t>ChatGPT: CTO buying questions</t>
        </is>
      </c>
      <c r="E476" s="12" t="inlineStr">
        <is>
          <t>Cost</t>
        </is>
      </c>
      <c r="F476" s="13" t="n"/>
      <c r="G476" s="13" t="n"/>
      <c r="H476" s="14" t="n"/>
      <c r="I476" s="12" t="inlineStr">
        <is>
          <t>Commercial</t>
        </is>
      </c>
      <c r="J476" s="15" t="n">
        <v>2</v>
      </c>
      <c r="K476" s="16">
        <f>IF(I476="","",IF(I476="Transactional",3,IF(I476="Commercial",2,1)))</f>
        <v/>
      </c>
      <c r="L476" s="16">
        <f>IF(G476="","",IF(G476&lt;=20,3,IF(G476&lt;=50,2,1)))</f>
        <v/>
      </c>
      <c r="M476" s="16">
        <f>IF(OR(J476="",K476="",L476=""),"",J476+K476+L476)</f>
        <v/>
      </c>
      <c r="N476" s="11" t="inlineStr">
        <is>
          <t>FAQ</t>
        </is>
      </c>
      <c r="O476" s="12" t="inlineStr">
        <is>
          <t>/ai-cost-tracking</t>
        </is>
      </c>
      <c r="P476" s="12" t="inlineStr">
        <is>
          <t>Interactive guide</t>
        </is>
      </c>
      <c r="Q476" s="14" t="n"/>
      <c r="R476" s="14" t="n"/>
      <c r="S476" s="14" t="n"/>
      <c r="T476" s="12" t="inlineStr">
        <is>
          <t>Not started</t>
        </is>
      </c>
      <c r="U476" s="12" t="inlineStr">
        <is>
          <t>AI-generated idea: confirm real demand before writing a page for it. Check with product: budget alerts not confirmed in the guide</t>
        </is>
      </c>
    </row>
    <row r="477">
      <c r="A477" s="11" t="n">
        <v>476</v>
      </c>
      <c r="B477" s="12" t="inlineStr">
        <is>
          <t>Can I see how many developers actively use AI coding assistants?</t>
        </is>
      </c>
      <c r="C477" s="17" t="inlineStr">
        <is>
          <t>AEO</t>
        </is>
      </c>
      <c r="D477" s="12" t="inlineStr">
        <is>
          <t>ChatGPT: CTO buying questions</t>
        </is>
      </c>
      <c r="E477" s="12" t="inlineStr">
        <is>
          <t>Category</t>
        </is>
      </c>
      <c r="F477" s="13" t="n"/>
      <c r="G477" s="13" t="n"/>
      <c r="H477" s="14" t="n"/>
      <c r="I477" s="12" t="inlineStr">
        <is>
          <t>Commercial</t>
        </is>
      </c>
      <c r="J477" s="15" t="n">
        <v>3</v>
      </c>
      <c r="K477" s="16">
        <f>IF(I477="","",IF(I477="Transactional",3,IF(I477="Commercial",2,1)))</f>
        <v/>
      </c>
      <c r="L477" s="16">
        <f>IF(G477="","",IF(G477&lt;=20,3,IF(G477&lt;=50,2,1)))</f>
        <v/>
      </c>
      <c r="M477" s="16">
        <f>IF(OR(J477="",K477="",L477=""),"",J477+K477+L477)</f>
        <v/>
      </c>
      <c r="N477" s="11" t="inlineStr">
        <is>
          <t>FAQ</t>
        </is>
      </c>
      <c r="O477" s="12" t="inlineStr">
        <is>
          <t>/ai-coding-analytics</t>
        </is>
      </c>
      <c r="P477" s="12" t="inlineStr">
        <is>
          <t>Solution</t>
        </is>
      </c>
      <c r="Q477" s="14" t="n"/>
      <c r="R477" s="14" t="n"/>
      <c r="S477" s="14" t="n"/>
      <c r="T477" s="12" t="inlineStr">
        <is>
          <t>Not started</t>
        </is>
      </c>
      <c r="U477" s="12" t="inlineStr">
        <is>
          <t>AI-generated idea: confirm real demand before writing a page for it</t>
        </is>
      </c>
    </row>
    <row r="478">
      <c r="A478" s="11" t="n">
        <v>477</v>
      </c>
      <c r="B478" s="12" t="inlineStr">
        <is>
          <t>Which AI coding tools are our developers using, including Claude Code, Cursor, and GitHub Copilot?</t>
        </is>
      </c>
      <c r="C478" s="17" t="inlineStr">
        <is>
          <t>AEO</t>
        </is>
      </c>
      <c r="D478" s="12" t="inlineStr">
        <is>
          <t>ChatGPT: CTO buying questions</t>
        </is>
      </c>
      <c r="E478" s="12" t="inlineStr">
        <is>
          <t>Multi-tool</t>
        </is>
      </c>
      <c r="F478" s="13" t="n"/>
      <c r="G478" s="13" t="n"/>
      <c r="H478" s="14" t="n"/>
      <c r="I478" s="12" t="inlineStr">
        <is>
          <t>Commercial</t>
        </is>
      </c>
      <c r="J478" s="15" t="n">
        <v>3</v>
      </c>
      <c r="K478" s="16">
        <f>IF(I478="","",IF(I478="Transactional",3,IF(I478="Commercial",2,1)))</f>
        <v/>
      </c>
      <c r="L478" s="16">
        <f>IF(G478="","",IF(G478&lt;=20,3,IF(G478&lt;=50,2,1)))</f>
        <v/>
      </c>
      <c r="M478" s="16">
        <f>IF(OR(J478="",K478="",L478=""),"",J478+K478+L478)</f>
        <v/>
      </c>
      <c r="N478" s="11" t="inlineStr">
        <is>
          <t>FAQ</t>
        </is>
      </c>
      <c r="O478" s="12" t="inlineStr">
        <is>
          <t>/integrations</t>
        </is>
      </c>
      <c r="P478" s="12" t="inlineStr">
        <is>
          <t>Integration</t>
        </is>
      </c>
      <c r="Q478" s="14" t="n"/>
      <c r="R478" s="14" t="n"/>
      <c r="S478" s="14" t="n"/>
      <c r="T478" s="12" t="inlineStr">
        <is>
          <t>Not started</t>
        </is>
      </c>
      <c r="U478" s="12" t="inlineStr">
        <is>
          <t>AI-generated idea: confirm real demand before writing a page for it</t>
        </is>
      </c>
    </row>
    <row r="479">
      <c r="A479" s="11" t="n">
        <v>478</v>
      </c>
      <c r="B479" s="12" t="inlineStr">
        <is>
          <t>Can I compare AI coding-tool usage across engineering teams?</t>
        </is>
      </c>
      <c r="C479" s="17" t="inlineStr">
        <is>
          <t>AEO</t>
        </is>
      </c>
      <c r="D479" s="12" t="inlineStr">
        <is>
          <t>ChatGPT: CTO buying questions</t>
        </is>
      </c>
      <c r="E479" s="12" t="inlineStr">
        <is>
          <t>Category</t>
        </is>
      </c>
      <c r="F479" s="13" t="n"/>
      <c r="G479" s="13" t="n"/>
      <c r="H479" s="14" t="n"/>
      <c r="I479" s="12" t="inlineStr">
        <is>
          <t>Commercial</t>
        </is>
      </c>
      <c r="J479" s="15" t="n">
        <v>3</v>
      </c>
      <c r="K479" s="16">
        <f>IF(I479="","",IF(I479="Transactional",3,IF(I479="Commercial",2,1)))</f>
        <v/>
      </c>
      <c r="L479" s="16">
        <f>IF(G479="","",IF(G479&lt;=20,3,IF(G479&lt;=50,2,1)))</f>
        <v/>
      </c>
      <c r="M479" s="16">
        <f>IF(OR(J479="",K479="",L479=""),"",J479+K479+L479)</f>
        <v/>
      </c>
      <c r="N479" s="11" t="inlineStr">
        <is>
          <t>FAQ</t>
        </is>
      </c>
      <c r="O479" s="12" t="inlineStr">
        <is>
          <t>/ai-coding-analytics</t>
        </is>
      </c>
      <c r="P479" s="12" t="inlineStr">
        <is>
          <t>Solution</t>
        </is>
      </c>
      <c r="Q479" s="14" t="n"/>
      <c r="R479" s="14" t="n"/>
      <c r="S479" s="14" t="n"/>
      <c r="T479" s="12" t="inlineStr">
        <is>
          <t>Not started</t>
        </is>
      </c>
      <c r="U479" s="12" t="inlineStr">
        <is>
          <t>AI-generated idea: confirm real demand before writing a page for it</t>
        </is>
      </c>
    </row>
    <row r="480">
      <c r="A480" s="11" t="n">
        <v>479</v>
      </c>
      <c r="B480" s="12" t="inlineStr">
        <is>
          <t>Can I track usage trends over days, weeks, and months?</t>
        </is>
      </c>
      <c r="C480" s="17" t="inlineStr">
        <is>
          <t>AEO</t>
        </is>
      </c>
      <c r="D480" s="12" t="inlineStr">
        <is>
          <t>ChatGPT: CTO buying questions</t>
        </is>
      </c>
      <c r="E480" s="12" t="inlineStr">
        <is>
          <t>Category</t>
        </is>
      </c>
      <c r="F480" s="13" t="n"/>
      <c r="G480" s="13" t="n"/>
      <c r="H480" s="14" t="n"/>
      <c r="I480" s="12" t="inlineStr">
        <is>
          <t>Commercial</t>
        </is>
      </c>
      <c r="J480" s="15" t="n">
        <v>2</v>
      </c>
      <c r="K480" s="16">
        <f>IF(I480="","",IF(I480="Transactional",3,IF(I480="Commercial",2,1)))</f>
        <v/>
      </c>
      <c r="L480" s="16">
        <f>IF(G480="","",IF(G480&lt;=20,3,IF(G480&lt;=50,2,1)))</f>
        <v/>
      </c>
      <c r="M480" s="16">
        <f>IF(OR(J480="",K480="",L480=""),"",J480+K480+L480)</f>
        <v/>
      </c>
      <c r="N480" s="11" t="inlineStr">
        <is>
          <t>FAQ</t>
        </is>
      </c>
      <c r="O480" s="12" t="inlineStr">
        <is>
          <t>/ai-coding-analytics</t>
        </is>
      </c>
      <c r="P480" s="12" t="inlineStr">
        <is>
          <t>Solution</t>
        </is>
      </c>
      <c r="Q480" s="14" t="n"/>
      <c r="R480" s="14" t="n"/>
      <c r="S480" s="14" t="n"/>
      <c r="T480" s="12" t="inlineStr">
        <is>
          <t>Not started</t>
        </is>
      </c>
      <c r="U480" s="12" t="inlineStr">
        <is>
          <t>AI-generated idea: confirm real demand before writing a page for it. Trends page is switched off; answer with period filters and Reports</t>
        </is>
      </c>
    </row>
    <row r="481">
      <c r="A481" s="11" t="n">
        <v>480</v>
      </c>
      <c r="B481" s="12" t="inlineStr">
        <is>
          <t>Can I identify developers who have access to AI tools but rarely use them?</t>
        </is>
      </c>
      <c r="C481" s="17" t="inlineStr">
        <is>
          <t>AEO</t>
        </is>
      </c>
      <c r="D481" s="12" t="inlineStr">
        <is>
          <t>ChatGPT: CTO buying questions</t>
        </is>
      </c>
      <c r="E481" s="12" t="inlineStr">
        <is>
          <t>Shadow AI &amp; Seats</t>
        </is>
      </c>
      <c r="F481" s="13" t="n"/>
      <c r="G481" s="13" t="n"/>
      <c r="H481" s="14" t="n"/>
      <c r="I481" s="12" t="inlineStr">
        <is>
          <t>Commercial</t>
        </is>
      </c>
      <c r="J481" s="15" t="n">
        <v>3</v>
      </c>
      <c r="K481" s="16">
        <f>IF(I481="","",IF(I481="Transactional",3,IF(I481="Commercial",2,1)))</f>
        <v/>
      </c>
      <c r="L481" s="16">
        <f>IF(G481="","",IF(G481&lt;=20,3,IF(G481&lt;=50,2,1)))</f>
        <v/>
      </c>
      <c r="M481" s="16">
        <f>IF(OR(J481="",K481="",L481=""),"",J481+K481+L481)</f>
        <v/>
      </c>
      <c r="N481" s="11" t="inlineStr">
        <is>
          <t>FAQ</t>
        </is>
      </c>
      <c r="O481" s="12" t="inlineStr">
        <is>
          <t>/shadow-ai</t>
        </is>
      </c>
      <c r="P481" s="12" t="inlineStr">
        <is>
          <t>Solution</t>
        </is>
      </c>
      <c r="Q481" s="14" t="n"/>
      <c r="R481" s="14" t="n"/>
      <c r="S481" s="14" t="n"/>
      <c r="T481" s="12" t="inlineStr">
        <is>
          <t>Not started</t>
        </is>
      </c>
      <c r="U481" s="12" t="inlineStr">
        <is>
          <t>AI-generated idea: confirm real demand before writing a page for it</t>
        </is>
      </c>
    </row>
    <row r="482">
      <c r="A482" s="11" t="n">
        <v>481</v>
      </c>
      <c r="B482" s="12" t="inlineStr">
        <is>
          <t>Can I see which AI models are being used and how frequently?</t>
        </is>
      </c>
      <c r="C482" s="17" t="inlineStr">
        <is>
          <t>AEO</t>
        </is>
      </c>
      <c r="D482" s="12" t="inlineStr">
        <is>
          <t>ChatGPT: CTO buying questions</t>
        </is>
      </c>
      <c r="E482" s="12" t="inlineStr">
        <is>
          <t>Category</t>
        </is>
      </c>
      <c r="F482" s="13" t="n"/>
      <c r="G482" s="13" t="n"/>
      <c r="H482" s="14" t="n"/>
      <c r="I482" s="12" t="inlineStr">
        <is>
          <t>Commercial</t>
        </is>
      </c>
      <c r="J482" s="15" t="n">
        <v>2</v>
      </c>
      <c r="K482" s="16">
        <f>IF(I482="","",IF(I482="Transactional",3,IF(I482="Commercial",2,1)))</f>
        <v/>
      </c>
      <c r="L482" s="16">
        <f>IF(G482="","",IF(G482&lt;=20,3,IF(G482&lt;=50,2,1)))</f>
        <v/>
      </c>
      <c r="M482" s="16">
        <f>IF(OR(J482="",K482="",L482=""),"",J482+K482+L482)</f>
        <v/>
      </c>
      <c r="N482" s="11" t="inlineStr">
        <is>
          <t>FAQ</t>
        </is>
      </c>
      <c r="O482" s="12" t="inlineStr">
        <is>
          <t>/ai-coding-analytics</t>
        </is>
      </c>
      <c r="P482" s="12" t="inlineStr">
        <is>
          <t>Solution</t>
        </is>
      </c>
      <c r="Q482" s="14" t="n"/>
      <c r="R482" s="14" t="n"/>
      <c r="S482" s="14" t="n"/>
      <c r="T482" s="12" t="inlineStr">
        <is>
          <t>Not started</t>
        </is>
      </c>
      <c r="U482" s="12" t="inlineStr">
        <is>
          <t>AI-generated idea: confirm real demand before writing a page for it. Check with product: per-model usage view</t>
        </is>
      </c>
    </row>
    <row r="483">
      <c r="A483" s="11" t="n">
        <v>482</v>
      </c>
      <c r="B483" s="12" t="inlineStr">
        <is>
          <t>How can I measure the return on investment (ROI) of our AI coding-tool subscriptions?</t>
        </is>
      </c>
      <c r="C483" s="17" t="inlineStr">
        <is>
          <t>AEO</t>
        </is>
      </c>
      <c r="D483" s="12" t="inlineStr">
        <is>
          <t>ChatGPT: CTO buying questions</t>
        </is>
      </c>
      <c r="E483" s="12" t="inlineStr">
        <is>
          <t>Cost</t>
        </is>
      </c>
      <c r="F483" s="13" t="n"/>
      <c r="G483" s="13" t="n"/>
      <c r="H483" s="14" t="n"/>
      <c r="I483" s="12" t="inlineStr">
        <is>
          <t>Informational</t>
        </is>
      </c>
      <c r="J483" s="15" t="n">
        <v>2</v>
      </c>
      <c r="K483" s="16">
        <f>IF(I483="","",IF(I483="Transactional",3,IF(I483="Commercial",2,1)))</f>
        <v/>
      </c>
      <c r="L483" s="16">
        <f>IF(G483="","",IF(G483&lt;=20,3,IF(G483&lt;=50,2,1)))</f>
        <v/>
      </c>
      <c r="M483" s="16">
        <f>IF(OR(J483="",K483="",L483=""),"",J483+K483+L483)</f>
        <v/>
      </c>
      <c r="N483" s="11" t="inlineStr">
        <is>
          <t>FAQ</t>
        </is>
      </c>
      <c r="O483" s="12" t="inlineStr">
        <is>
          <t>/blog/ai-coding-roi</t>
        </is>
      </c>
      <c r="P483" s="12" t="inlineStr">
        <is>
          <t>Interactive guide</t>
        </is>
      </c>
      <c r="Q483" s="14" t="n"/>
      <c r="R483" s="14" t="n"/>
      <c r="S483" s="14" t="n"/>
      <c r="T483" s="12" t="inlineStr">
        <is>
          <t>Not started</t>
        </is>
      </c>
      <c r="U483" s="12" t="inlineStr">
        <is>
          <t>AI-generated idea: confirm real demand before writing a page for it</t>
        </is>
      </c>
    </row>
    <row r="484">
      <c r="A484" s="11" t="n">
        <v>483</v>
      </c>
      <c r="B484" s="12" t="inlineStr">
        <is>
          <t>Does higher AI coding-tool usage correlate with improved developer productivity?</t>
        </is>
      </c>
      <c r="C484" s="17" t="inlineStr">
        <is>
          <t>AEO</t>
        </is>
      </c>
      <c r="D484" s="12" t="inlineStr">
        <is>
          <t>ChatGPT: CTO buying questions</t>
        </is>
      </c>
      <c r="E484" s="12" t="inlineStr">
        <is>
          <t>Engineering Intelligence</t>
        </is>
      </c>
      <c r="F484" s="13" t="n"/>
      <c r="G484" s="13" t="n"/>
      <c r="H484" s="14" t="n"/>
      <c r="I484" s="12" t="inlineStr">
        <is>
          <t>Informational</t>
        </is>
      </c>
      <c r="J484" s="15" t="n">
        <v>2</v>
      </c>
      <c r="K484" s="16">
        <f>IF(I484="","",IF(I484="Transactional",3,IF(I484="Commercial",2,1)))</f>
        <v/>
      </c>
      <c r="L484" s="16">
        <f>IF(G484="","",IF(G484&lt;=20,3,IF(G484&lt;=50,2,1)))</f>
        <v/>
      </c>
      <c r="M484" s="16">
        <f>IF(OR(J484="",K484="",L484=""),"",J484+K484+L484)</f>
        <v/>
      </c>
      <c r="N484" s="11" t="inlineStr">
        <is>
          <t>FAQ</t>
        </is>
      </c>
      <c r="O484" s="12" t="inlineStr">
        <is>
          <t>/blog/measure-developer-productivity-ai</t>
        </is>
      </c>
      <c r="P484" s="12" t="inlineStr">
        <is>
          <t>Interactive guide</t>
        </is>
      </c>
      <c r="Q484" s="14" t="n"/>
      <c r="R484" s="14" t="n"/>
      <c r="S484" s="14" t="n"/>
      <c r="T484" s="12" t="inlineStr">
        <is>
          <t>Not started</t>
        </is>
      </c>
      <c r="U484" s="12" t="inlineStr">
        <is>
          <t>AI-generated idea: confirm real demand before writing a page for it</t>
        </is>
      </c>
    </row>
    <row r="485">
      <c r="A485" s="11" t="n">
        <v>484</v>
      </c>
      <c r="B485" s="12" t="inlineStr">
        <is>
          <t>Can I determine whether AI coding tools help developers complete tasks faster?</t>
        </is>
      </c>
      <c r="C485" s="17" t="inlineStr">
        <is>
          <t>AEO</t>
        </is>
      </c>
      <c r="D485" s="12" t="inlineStr">
        <is>
          <t>ChatGPT: CTO buying questions</t>
        </is>
      </c>
      <c r="E485" s="12" t="inlineStr">
        <is>
          <t>Engineering Intelligence</t>
        </is>
      </c>
      <c r="F485" s="13" t="n"/>
      <c r="G485" s="13" t="n"/>
      <c r="H485" s="14" t="n"/>
      <c r="I485" s="12" t="inlineStr">
        <is>
          <t>Informational</t>
        </is>
      </c>
      <c r="J485" s="15" t="n">
        <v>2</v>
      </c>
      <c r="K485" s="16">
        <f>IF(I485="","",IF(I485="Transactional",3,IF(I485="Commercial",2,1)))</f>
        <v/>
      </c>
      <c r="L485" s="16">
        <f>IF(G485="","",IF(G485&lt;=20,3,IF(G485&lt;=50,2,1)))</f>
        <v/>
      </c>
      <c r="M485" s="16">
        <f>IF(OR(J485="",K485="",L485=""),"",J485+K485+L485)</f>
        <v/>
      </c>
      <c r="N485" s="11" t="inlineStr">
        <is>
          <t>FAQ</t>
        </is>
      </c>
      <c r="O485" s="12" t="inlineStr">
        <is>
          <t>/blog/measure-developer-productivity-ai</t>
        </is>
      </c>
      <c r="P485" s="12" t="inlineStr">
        <is>
          <t>Interactive guide</t>
        </is>
      </c>
      <c r="Q485" s="14" t="n"/>
      <c r="R485" s="14" t="n"/>
      <c r="S485" s="14" t="n"/>
      <c r="T485" s="12" t="inlineStr">
        <is>
          <t>Not started</t>
        </is>
      </c>
      <c r="U485" s="12" t="inlineStr">
        <is>
          <t>AI-generated idea: confirm real demand before writing a page for it</t>
        </is>
      </c>
    </row>
    <row r="486">
      <c r="A486" s="11" t="n">
        <v>485</v>
      </c>
      <c r="B486" s="12" t="inlineStr">
        <is>
          <t>What metrics can demonstrate the business value of AI coding assistants to leadership?</t>
        </is>
      </c>
      <c r="C486" s="17" t="inlineStr">
        <is>
          <t>AEO</t>
        </is>
      </c>
      <c r="D486" s="12" t="inlineStr">
        <is>
          <t>ChatGPT: CTO buying questions</t>
        </is>
      </c>
      <c r="E486" s="12" t="inlineStr">
        <is>
          <t>Cost</t>
        </is>
      </c>
      <c r="F486" s="13" t="n"/>
      <c r="G486" s="13" t="n"/>
      <c r="H486" s="14" t="n"/>
      <c r="I486" s="12" t="inlineStr">
        <is>
          <t>Informational</t>
        </is>
      </c>
      <c r="J486" s="15" t="n">
        <v>2</v>
      </c>
      <c r="K486" s="16">
        <f>IF(I486="","",IF(I486="Transactional",3,IF(I486="Commercial",2,1)))</f>
        <v/>
      </c>
      <c r="L486" s="16">
        <f>IF(G486="","",IF(G486&lt;=20,3,IF(G486&lt;=50,2,1)))</f>
        <v/>
      </c>
      <c r="M486" s="16">
        <f>IF(OR(J486="",K486="",L486=""),"",J486+K486+L486)</f>
        <v/>
      </c>
      <c r="N486" s="11" t="inlineStr">
        <is>
          <t>FAQ</t>
        </is>
      </c>
      <c r="O486" s="12" t="inlineStr">
        <is>
          <t>/blog/ai-coding-roi</t>
        </is>
      </c>
      <c r="P486" s="12" t="inlineStr">
        <is>
          <t>Interactive guide</t>
        </is>
      </c>
      <c r="Q486" s="14" t="n"/>
      <c r="R486" s="14" t="n"/>
      <c r="S486" s="14" t="n"/>
      <c r="T486" s="12" t="inlineStr">
        <is>
          <t>Not started</t>
        </is>
      </c>
      <c r="U486" s="12" t="inlineStr">
        <is>
          <t>AI-generated idea: confirm real demand before writing a page for it</t>
        </is>
      </c>
    </row>
    <row r="487">
      <c r="A487" s="11" t="n">
        <v>486</v>
      </c>
      <c r="B487" s="12" t="inlineStr">
        <is>
          <t>Can I compare the cost of AI coding tools with the engineering productivity gains they deliver?</t>
        </is>
      </c>
      <c r="C487" s="17" t="inlineStr">
        <is>
          <t>AEO</t>
        </is>
      </c>
      <c r="D487" s="12" t="inlineStr">
        <is>
          <t>ChatGPT: CTO buying questions</t>
        </is>
      </c>
      <c r="E487" s="12" t="inlineStr">
        <is>
          <t>Cost</t>
        </is>
      </c>
      <c r="F487" s="13" t="n"/>
      <c r="G487" s="13" t="n"/>
      <c r="H487" s="14" t="n"/>
      <c r="I487" s="12" t="inlineStr">
        <is>
          <t>Informational</t>
        </is>
      </c>
      <c r="J487" s="15" t="n">
        <v>2</v>
      </c>
      <c r="K487" s="16">
        <f>IF(I487="","",IF(I487="Transactional",3,IF(I487="Commercial",2,1)))</f>
        <v/>
      </c>
      <c r="L487" s="16">
        <f>IF(G487="","",IF(G487&lt;=20,3,IF(G487&lt;=50,2,1)))</f>
        <v/>
      </c>
      <c r="M487" s="16">
        <f>IF(OR(J487="",K487="",L487=""),"",J487+K487+L487)</f>
        <v/>
      </c>
      <c r="N487" s="11" t="inlineStr">
        <is>
          <t>FAQ</t>
        </is>
      </c>
      <c r="O487" s="12" t="inlineStr">
        <is>
          <t>/blog/ai-coding-roi</t>
        </is>
      </c>
      <c r="P487" s="12" t="inlineStr">
        <is>
          <t>Interactive guide</t>
        </is>
      </c>
      <c r="Q487" s="14" t="n"/>
      <c r="R487" s="14" t="n"/>
      <c r="S487" s="14" t="n"/>
      <c r="T487" s="12" t="inlineStr">
        <is>
          <t>Not started</t>
        </is>
      </c>
      <c r="U487" s="12" t="inlineStr">
        <is>
          <t>AI-generated idea: confirm real demand before writing a page for it. Cost &amp; ROI page is switched off</t>
        </is>
      </c>
    </row>
    <row r="488">
      <c r="A488" s="11" t="n">
        <v>487</v>
      </c>
      <c r="B488" s="12" t="inlineStr">
        <is>
          <t>How do I know whether we're paying for AI tools that aren't delivering enough value?</t>
        </is>
      </c>
      <c r="C488" s="17" t="inlineStr">
        <is>
          <t>AEO</t>
        </is>
      </c>
      <c r="D488" s="12" t="inlineStr">
        <is>
          <t>ChatGPT: CTO buying questions</t>
        </is>
      </c>
      <c r="E488" s="12" t="inlineStr">
        <is>
          <t>Cost</t>
        </is>
      </c>
      <c r="F488" s="13" t="n"/>
      <c r="G488" s="13" t="n"/>
      <c r="H488" s="14" t="n"/>
      <c r="I488" s="12" t="inlineStr">
        <is>
          <t>Informational</t>
        </is>
      </c>
      <c r="J488" s="15" t="n">
        <v>2</v>
      </c>
      <c r="K488" s="16">
        <f>IF(I488="","",IF(I488="Transactional",3,IF(I488="Commercial",2,1)))</f>
        <v/>
      </c>
      <c r="L488" s="16">
        <f>IF(G488="","",IF(G488&lt;=20,3,IF(G488&lt;=50,2,1)))</f>
        <v/>
      </c>
      <c r="M488" s="16">
        <f>IF(OR(J488="",K488="",L488=""),"",J488+K488+L488)</f>
        <v/>
      </c>
      <c r="N488" s="11" t="inlineStr">
        <is>
          <t>FAQ</t>
        </is>
      </c>
      <c r="O488" s="12" t="inlineStr">
        <is>
          <t>/blog/ai-coding-roi</t>
        </is>
      </c>
      <c r="P488" s="12" t="inlineStr">
        <is>
          <t>Interactive guide</t>
        </is>
      </c>
      <c r="Q488" s="14" t="n"/>
      <c r="R488" s="14" t="n"/>
      <c r="S488" s="14" t="n"/>
      <c r="T488" s="12" t="inlineStr">
        <is>
          <t>Not started</t>
        </is>
      </c>
      <c r="U488" s="12" t="inlineStr">
        <is>
          <t>AI-generated idea: confirm real demand before writing a page for it</t>
        </is>
      </c>
    </row>
    <row r="489">
      <c r="A489" s="11" t="n">
        <v>488</v>
      </c>
      <c r="B489" s="12" t="inlineStr">
        <is>
          <t>Does the tool integrate with Claude Code, Cursor, and GitHub Copilot?</t>
        </is>
      </c>
      <c r="C489" s="17" t="inlineStr">
        <is>
          <t>AEO</t>
        </is>
      </c>
      <c r="D489" s="12" t="inlineStr">
        <is>
          <t>ChatGPT: CTO buying questions</t>
        </is>
      </c>
      <c r="E489" s="12" t="inlineStr">
        <is>
          <t>Multi-tool</t>
        </is>
      </c>
      <c r="F489" s="13" t="n"/>
      <c r="G489" s="13" t="n"/>
      <c r="H489" s="14" t="n"/>
      <c r="I489" s="12" t="inlineStr">
        <is>
          <t>Commercial</t>
        </is>
      </c>
      <c r="J489" s="15" t="n">
        <v>3</v>
      </c>
      <c r="K489" s="16">
        <f>IF(I489="","",IF(I489="Transactional",3,IF(I489="Commercial",2,1)))</f>
        <v/>
      </c>
      <c r="L489" s="16">
        <f>IF(G489="","",IF(G489&lt;=20,3,IF(G489&lt;=50,2,1)))</f>
        <v/>
      </c>
      <c r="M489" s="16">
        <f>IF(OR(J489="",K489="",L489=""),"",J489+K489+L489)</f>
        <v/>
      </c>
      <c r="N489" s="11" t="inlineStr">
        <is>
          <t>FAQ</t>
        </is>
      </c>
      <c r="O489" s="12" t="inlineStr">
        <is>
          <t>/integrations</t>
        </is>
      </c>
      <c r="P489" s="12" t="inlineStr">
        <is>
          <t>Integration</t>
        </is>
      </c>
      <c r="Q489" s="14" t="n"/>
      <c r="R489" s="14" t="n"/>
      <c r="S489" s="14" t="n"/>
      <c r="T489" s="12" t="inlineStr">
        <is>
          <t>Not started</t>
        </is>
      </c>
      <c r="U489" s="12" t="inlineStr">
        <is>
          <t>AI-generated idea: confirm real demand before writing a page for it</t>
        </is>
      </c>
    </row>
    <row r="490">
      <c r="A490" s="11" t="n">
        <v>489</v>
      </c>
      <c r="B490" s="12" t="inlineStr">
        <is>
          <t>Can it combine usage and spending data from multiple AI coding providers in one dashboard?</t>
        </is>
      </c>
      <c r="C490" s="17" t="inlineStr">
        <is>
          <t>AEO</t>
        </is>
      </c>
      <c r="D490" s="12" t="inlineStr">
        <is>
          <t>ChatGPT: CTO buying questions</t>
        </is>
      </c>
      <c r="E490" s="12" t="inlineStr">
        <is>
          <t>Multi-tool</t>
        </is>
      </c>
      <c r="F490" s="13" t="n"/>
      <c r="G490" s="13" t="n"/>
      <c r="H490" s="14" t="n"/>
      <c r="I490" s="12" t="inlineStr">
        <is>
          <t>Commercial</t>
        </is>
      </c>
      <c r="J490" s="15" t="n">
        <v>3</v>
      </c>
      <c r="K490" s="16">
        <f>IF(I490="","",IF(I490="Transactional",3,IF(I490="Commercial",2,1)))</f>
        <v/>
      </c>
      <c r="L490" s="16">
        <f>IF(G490="","",IF(G490&lt;=20,3,IF(G490&lt;=50,2,1)))</f>
        <v/>
      </c>
      <c r="M490" s="16">
        <f>IF(OR(J490="",K490="",L490=""),"",J490+K490+L490)</f>
        <v/>
      </c>
      <c r="N490" s="11" t="inlineStr">
        <is>
          <t>FAQ</t>
        </is>
      </c>
      <c r="O490" s="12" t="inlineStr">
        <is>
          <t>/integrations</t>
        </is>
      </c>
      <c r="P490" s="12" t="inlineStr">
        <is>
          <t>Integration</t>
        </is>
      </c>
      <c r="Q490" s="14" t="n"/>
      <c r="R490" s="14" t="n"/>
      <c r="S490" s="14" t="n"/>
      <c r="T490" s="12" t="inlineStr">
        <is>
          <t>Not started</t>
        </is>
      </c>
      <c r="U490" s="12" t="inlineStr">
        <is>
          <t>AI-generated idea: confirm real demand before writing a page for it</t>
        </is>
      </c>
    </row>
    <row r="491">
      <c r="A491" s="11" t="n">
        <v>490</v>
      </c>
      <c r="B491" s="12" t="inlineStr">
        <is>
          <t>Does the tool support enterprise accounts, APIs, and centralized billing?</t>
        </is>
      </c>
      <c r="C491" s="17" t="inlineStr">
        <is>
          <t>AEO</t>
        </is>
      </c>
      <c r="D491" s="12" t="inlineStr">
        <is>
          <t>ChatGPT: CTO buying questions</t>
        </is>
      </c>
      <c r="E491" s="12" t="inlineStr">
        <is>
          <t>AI Agents &amp; MCP</t>
        </is>
      </c>
      <c r="F491" s="13" t="n"/>
      <c r="G491" s="13" t="n"/>
      <c r="H491" s="14" t="n"/>
      <c r="I491" s="12" t="inlineStr">
        <is>
          <t>Commercial</t>
        </is>
      </c>
      <c r="J491" s="15" t="n">
        <v>2</v>
      </c>
      <c r="K491" s="16">
        <f>IF(I491="","",IF(I491="Transactional",3,IF(I491="Commercial",2,1)))</f>
        <v/>
      </c>
      <c r="L491" s="16">
        <f>IF(G491="","",IF(G491&lt;=20,3,IF(G491&lt;=50,2,1)))</f>
        <v/>
      </c>
      <c r="M491" s="16">
        <f>IF(OR(J491="",K491="",L491=""),"",J491+K491+L491)</f>
        <v/>
      </c>
      <c r="N491" s="11" t="inlineStr">
        <is>
          <t>FAQ</t>
        </is>
      </c>
      <c r="O491" s="12" t="inlineStr">
        <is>
          <t>/docs</t>
        </is>
      </c>
      <c r="P491" s="12" t="inlineStr">
        <is>
          <t>Docs</t>
        </is>
      </c>
      <c r="Q491" s="14" t="n"/>
      <c r="R491" s="14" t="n"/>
      <c r="S491" s="14" t="n"/>
      <c r="T491" s="12" t="inlineStr">
        <is>
          <t>Not started</t>
        </is>
      </c>
      <c r="U491" s="12" t="inlineStr">
        <is>
          <t>AI-generated idea: confirm real demand before writing a page for it. Kite Pulse does not handle billing; it has an Agent API + MCP</t>
        </is>
      </c>
    </row>
    <row r="492">
      <c r="A492" s="11" t="n">
        <v>491</v>
      </c>
      <c r="B492" s="12" t="inlineStr">
        <is>
          <t>How quickly is usage and cost data updated?</t>
        </is>
      </c>
      <c r="C492" s="17" t="inlineStr">
        <is>
          <t>AEO</t>
        </is>
      </c>
      <c r="D492" s="12" t="inlineStr">
        <is>
          <t>ChatGPT: CTO buying questions</t>
        </is>
      </c>
      <c r="E492" s="12" t="inlineStr">
        <is>
          <t>FAQ (brand)</t>
        </is>
      </c>
      <c r="F492" s="13" t="n"/>
      <c r="G492" s="13" t="n"/>
      <c r="H492" s="14" t="n"/>
      <c r="I492" s="12" t="inlineStr">
        <is>
          <t>Commercial</t>
        </is>
      </c>
      <c r="J492" s="15" t="n">
        <v>3</v>
      </c>
      <c r="K492" s="16">
        <f>IF(I492="","",IF(I492="Transactional",3,IF(I492="Commercial",2,1)))</f>
        <v/>
      </c>
      <c r="L492" s="16">
        <f>IF(G492="","",IF(G492&lt;=20,3,IF(G492&lt;=50,2,1)))</f>
        <v/>
      </c>
      <c r="M492" s="16">
        <f>IF(OR(J492="",K492="",L492=""),"",J492+K492+L492)</f>
        <v/>
      </c>
      <c r="N492" s="11" t="inlineStr">
        <is>
          <t>FAQ</t>
        </is>
      </c>
      <c r="O492" s="12" t="inlineStr">
        <is>
          <t>/faq</t>
        </is>
      </c>
      <c r="P492" s="12" t="inlineStr">
        <is>
          <t>FAQ</t>
        </is>
      </c>
      <c r="Q492" s="14" t="n"/>
      <c r="R492" s="14" t="n"/>
      <c r="S492" s="14" t="n"/>
      <c r="T492" s="12" t="inlineStr">
        <is>
          <t>Not started</t>
        </is>
      </c>
      <c r="U492" s="12" t="inlineStr">
        <is>
          <t>AI-generated idea: confirm real demand before writing a page for it. Guide: sessions appear within minutes</t>
        </is>
      </c>
    </row>
    <row r="493">
      <c r="A493" s="11" t="n">
        <v>492</v>
      </c>
      <c r="B493" s="12" t="inlineStr">
        <is>
          <t>Can I export reports or integrate the data with our existing analytics and finance systems?</t>
        </is>
      </c>
      <c r="C493" s="17" t="inlineStr">
        <is>
          <t>AEO</t>
        </is>
      </c>
      <c r="D493" s="12" t="inlineStr">
        <is>
          <t>ChatGPT: CTO buying questions</t>
        </is>
      </c>
      <c r="E493" s="12" t="inlineStr">
        <is>
          <t>Team &amp; Projects</t>
        </is>
      </c>
      <c r="F493" s="13" t="n"/>
      <c r="G493" s="13" t="n"/>
      <c r="H493" s="14" t="n"/>
      <c r="I493" s="12" t="inlineStr">
        <is>
          <t>Commercial</t>
        </is>
      </c>
      <c r="J493" s="15" t="n">
        <v>2</v>
      </c>
      <c r="K493" s="16">
        <f>IF(I493="","",IF(I493="Transactional",3,IF(I493="Commercial",2,1)))</f>
        <v/>
      </c>
      <c r="L493" s="16">
        <f>IF(G493="","",IF(G493&lt;=20,3,IF(G493&lt;=50,2,1)))</f>
        <v/>
      </c>
      <c r="M493" s="16">
        <f>IF(OR(J493="",K493="",L493=""),"",J493+K493+L493)</f>
        <v/>
      </c>
      <c r="N493" s="11" t="inlineStr">
        <is>
          <t>FAQ</t>
        </is>
      </c>
      <c r="O493" s="12" t="inlineStr">
        <is>
          <t>/features</t>
        </is>
      </c>
      <c r="P493" s="12" t="inlineStr">
        <is>
          <t>Feature</t>
        </is>
      </c>
      <c r="Q493" s="14" t="n"/>
      <c r="R493" s="14" t="n"/>
      <c r="S493" s="14" t="n"/>
      <c r="T493" s="12" t="inlineStr">
        <is>
          <t>Not started</t>
        </is>
      </c>
      <c r="U493" s="12" t="inlineStr">
        <is>
          <t>AI-generated idea: confirm real demand before writing a page for it. Spreadsheet export + API; no direct finance integrations</t>
        </is>
      </c>
    </row>
    <row r="494">
      <c r="A494" s="11" t="n">
        <v>493</v>
      </c>
      <c r="B494" s="12" t="inlineStr">
        <is>
          <t>Does the tool collect source code, prompts, or other sensitive developer information?</t>
        </is>
      </c>
      <c r="C494" s="17" t="inlineStr">
        <is>
          <t>AEO</t>
        </is>
      </c>
      <c r="D494" s="12" t="inlineStr">
        <is>
          <t>ChatGPT: CTO buying questions</t>
        </is>
      </c>
      <c r="E494" s="12" t="inlineStr">
        <is>
          <t>Privacy &amp; Self-hosted</t>
        </is>
      </c>
      <c r="F494" s="13" t="n"/>
      <c r="G494" s="13" t="n"/>
      <c r="H494" s="14" t="n"/>
      <c r="I494" s="12" t="inlineStr">
        <is>
          <t>Commercial</t>
        </is>
      </c>
      <c r="J494" s="15" t="n">
        <v>3</v>
      </c>
      <c r="K494" s="16">
        <f>IF(I494="","",IF(I494="Transactional",3,IF(I494="Commercial",2,1)))</f>
        <v/>
      </c>
      <c r="L494" s="16">
        <f>IF(G494="","",IF(G494&lt;=20,3,IF(G494&lt;=50,2,1)))</f>
        <v/>
      </c>
      <c r="M494" s="16">
        <f>IF(OR(J494="",K494="",L494=""),"",J494+K494+L494)</f>
        <v/>
      </c>
      <c r="N494" s="11" t="inlineStr">
        <is>
          <t>FAQ</t>
        </is>
      </c>
      <c r="O494" s="12" t="inlineStr">
        <is>
          <t>/privacy</t>
        </is>
      </c>
      <c r="P494" s="12" t="inlineStr">
        <is>
          <t>Trust</t>
        </is>
      </c>
      <c r="Q494" s="14" t="n"/>
      <c r="R494" s="14" t="n"/>
      <c r="S494" s="14" t="n"/>
      <c r="T494" s="12" t="inlineStr">
        <is>
          <t>Not started</t>
        </is>
      </c>
      <c r="U494" s="12" t="inlineStr">
        <is>
          <t>AI-generated idea: confirm real demand before writing a page for it. Answer honestly: no source files, but conversation records (secrets removed) are collected</t>
        </is>
      </c>
    </row>
    <row r="495">
      <c r="A495" s="11" t="n">
        <v>494</v>
      </c>
      <c r="B495" s="12" t="inlineStr">
        <is>
          <t>How does it protect developer usage data and company billing information?</t>
        </is>
      </c>
      <c r="C495" s="17" t="inlineStr">
        <is>
          <t>AEO</t>
        </is>
      </c>
      <c r="D495" s="12" t="inlineStr">
        <is>
          <t>ChatGPT: CTO buying questions</t>
        </is>
      </c>
      <c r="E495" s="12" t="inlineStr">
        <is>
          <t>Privacy &amp; Self-hosted</t>
        </is>
      </c>
      <c r="F495" s="13" t="n"/>
      <c r="G495" s="13" t="n"/>
      <c r="H495" s="14" t="n"/>
      <c r="I495" s="12" t="inlineStr">
        <is>
          <t>Commercial</t>
        </is>
      </c>
      <c r="J495" s="15" t="n">
        <v>3</v>
      </c>
      <c r="K495" s="16">
        <f>IF(I495="","",IF(I495="Transactional",3,IF(I495="Commercial",2,1)))</f>
        <v/>
      </c>
      <c r="L495" s="16">
        <f>IF(G495="","",IF(G495&lt;=20,3,IF(G495&lt;=50,2,1)))</f>
        <v/>
      </c>
      <c r="M495" s="16">
        <f>IF(OR(J495="",K495="",L495=""),"",J495+K495+L495)</f>
        <v/>
      </c>
      <c r="N495" s="11" t="inlineStr">
        <is>
          <t>FAQ</t>
        </is>
      </c>
      <c r="O495" s="12" t="inlineStr">
        <is>
          <t>/privacy</t>
        </is>
      </c>
      <c r="P495" s="12" t="inlineStr">
        <is>
          <t>Trust</t>
        </is>
      </c>
      <c r="Q495" s="14" t="n"/>
      <c r="R495" s="14" t="n"/>
      <c r="S495" s="14" t="n"/>
      <c r="T495" s="12" t="inlineStr">
        <is>
          <t>Not started</t>
        </is>
      </c>
      <c r="U495" s="12" t="inlineStr">
        <is>
          <t>AI-generated idea: confirm real demand before writing a page for it</t>
        </is>
      </c>
    </row>
    <row r="496">
      <c r="A496" s="11" t="n">
        <v>495</v>
      </c>
      <c r="B496" s="12" t="inlineStr">
        <is>
          <t>Can I control who can access individual-level usage data and organization-wide reports?</t>
        </is>
      </c>
      <c r="C496" s="17" t="inlineStr">
        <is>
          <t>AEO</t>
        </is>
      </c>
      <c r="D496" s="12" t="inlineStr">
        <is>
          <t>ChatGPT: CTO buying questions</t>
        </is>
      </c>
      <c r="E496" s="12" t="inlineStr">
        <is>
          <t>Admin &amp; Security</t>
        </is>
      </c>
      <c r="F496" s="13" t="n"/>
      <c r="G496" s="13" t="n"/>
      <c r="H496" s="14" t="n"/>
      <c r="I496" s="12" t="inlineStr">
        <is>
          <t>Commercial</t>
        </is>
      </c>
      <c r="J496" s="15" t="n">
        <v>3</v>
      </c>
      <c r="K496" s="16">
        <f>IF(I496="","",IF(I496="Transactional",3,IF(I496="Commercial",2,1)))</f>
        <v/>
      </c>
      <c r="L496" s="16">
        <f>IF(G496="","",IF(G496&lt;=20,3,IF(G496&lt;=50,2,1)))</f>
        <v/>
      </c>
      <c r="M496" s="16">
        <f>IF(OR(J496="",K496="",L496=""),"",J496+K496+L496)</f>
        <v/>
      </c>
      <c r="N496" s="11" t="inlineStr">
        <is>
          <t>FAQ</t>
        </is>
      </c>
      <c r="O496" s="12" t="inlineStr">
        <is>
          <t>/features</t>
        </is>
      </c>
      <c r="P496" s="12" t="inlineStr">
        <is>
          <t>Feature</t>
        </is>
      </c>
      <c r="Q496" s="14" t="n"/>
      <c r="R496" s="14" t="n"/>
      <c r="S496" s="14" t="n"/>
      <c r="T496" s="12" t="inlineStr">
        <is>
          <t>Not started</t>
        </is>
      </c>
      <c r="U496" s="12" t="inlineStr">
        <is>
          <t>AI-generated idea: confirm real demand before writing a page for it. Access levels + Roles &amp; Permissions</t>
        </is>
      </c>
    </row>
    <row r="497">
      <c r="A497" s="11" t="n">
        <v>496</v>
      </c>
      <c r="B497" s="12" t="inlineStr">
        <is>
          <t>Does the tool support enterprise security requirements, audit logs, and role-based access control?</t>
        </is>
      </c>
      <c r="C497" s="17" t="inlineStr">
        <is>
          <t>AEO</t>
        </is>
      </c>
      <c r="D497" s="12" t="inlineStr">
        <is>
          <t>ChatGPT: CTO buying questions</t>
        </is>
      </c>
      <c r="E497" s="12" t="inlineStr">
        <is>
          <t>Admin &amp; Security</t>
        </is>
      </c>
      <c r="F497" s="13" t="n"/>
      <c r="G497" s="13" t="n"/>
      <c r="H497" s="14" t="n"/>
      <c r="I497" s="12" t="inlineStr">
        <is>
          <t>Commercial</t>
        </is>
      </c>
      <c r="J497" s="15" t="n">
        <v>3</v>
      </c>
      <c r="K497" s="16">
        <f>IF(I497="","",IF(I497="Transactional",3,IF(I497="Commercial",2,1)))</f>
        <v/>
      </c>
      <c r="L497" s="16">
        <f>IF(G497="","",IF(G497&lt;=20,3,IF(G497&lt;=50,2,1)))</f>
        <v/>
      </c>
      <c r="M497" s="16">
        <f>IF(OR(J497="",K497="",L497=""),"",J497+K497+L497)</f>
        <v/>
      </c>
      <c r="N497" s="11" t="inlineStr">
        <is>
          <t>FAQ</t>
        </is>
      </c>
      <c r="O497" s="12" t="inlineStr">
        <is>
          <t>/features</t>
        </is>
      </c>
      <c r="P497" s="12" t="inlineStr">
        <is>
          <t>Feature</t>
        </is>
      </c>
      <c r="Q497" s="14" t="n"/>
      <c r="R497" s="14" t="n"/>
      <c r="S497" s="14" t="n"/>
      <c r="T497" s="12" t="inlineStr">
        <is>
          <t>Not started</t>
        </is>
      </c>
      <c r="U497" s="12" t="inlineStr">
        <is>
          <t>AI-generated idea: confirm real demand before writing a page for it</t>
        </is>
      </c>
    </row>
    <row r="498">
      <c r="A498" s="11" t="n">
        <v>497</v>
      </c>
      <c r="B498" s="12" t="inlineStr">
        <is>
          <t>How much does the monitoring tool itself cost, and are there additional fees?</t>
        </is>
      </c>
      <c r="C498" s="17" t="inlineStr">
        <is>
          <t>AEO</t>
        </is>
      </c>
      <c r="D498" s="12" t="inlineStr">
        <is>
          <t>ChatGPT: CTO buying questions</t>
        </is>
      </c>
      <c r="E498" s="12" t="inlineStr">
        <is>
          <t>Pricing</t>
        </is>
      </c>
      <c r="F498" s="13" t="n"/>
      <c r="G498" s="13" t="n"/>
      <c r="H498" s="14" t="n"/>
      <c r="I498" s="12" t="inlineStr">
        <is>
          <t>Transactional</t>
        </is>
      </c>
      <c r="J498" s="15" t="n">
        <v>3</v>
      </c>
      <c r="K498" s="16">
        <f>IF(I498="","",IF(I498="Transactional",3,IF(I498="Commercial",2,1)))</f>
        <v/>
      </c>
      <c r="L498" s="16">
        <f>IF(G498="","",IF(G498&lt;=20,3,IF(G498&lt;=50,2,1)))</f>
        <v/>
      </c>
      <c r="M498" s="16">
        <f>IF(OR(J498="",K498="",L498=""),"",J498+K498+L498)</f>
        <v/>
      </c>
      <c r="N498" s="11" t="inlineStr">
        <is>
          <t>FAQ</t>
        </is>
      </c>
      <c r="O498" s="12" t="inlineStr">
        <is>
          <t>/pricing</t>
        </is>
      </c>
      <c r="P498" s="12" t="inlineStr">
        <is>
          <t>Solution</t>
        </is>
      </c>
      <c r="Q498" s="14" t="n"/>
      <c r="R498" s="14" t="n"/>
      <c r="S498" s="14" t="n"/>
      <c r="T498" s="12" t="inlineStr">
        <is>
          <t>Not started</t>
        </is>
      </c>
      <c r="U498" s="12" t="inlineStr">
        <is>
          <t>AI-generated idea: confirm real demand before writing a page for it</t>
        </is>
      </c>
    </row>
    <row r="499">
      <c r="A499" s="11" t="n">
        <v>498</v>
      </c>
      <c r="B499" s="12" t="inlineStr">
        <is>
          <t>How long does implementation take, and how much ongoing maintenance is required?</t>
        </is>
      </c>
      <c r="C499" s="17" t="inlineStr">
        <is>
          <t>AEO</t>
        </is>
      </c>
      <c r="D499" s="12" t="inlineStr">
        <is>
          <t>ChatGPT: CTO buying questions</t>
        </is>
      </c>
      <c r="E499" s="12" t="inlineStr">
        <is>
          <t>FAQ (brand)</t>
        </is>
      </c>
      <c r="F499" s="13" t="n"/>
      <c r="G499" s="13" t="n"/>
      <c r="H499" s="14" t="n"/>
      <c r="I499" s="12" t="inlineStr">
        <is>
          <t>Commercial</t>
        </is>
      </c>
      <c r="J499" s="15" t="n">
        <v>3</v>
      </c>
      <c r="K499" s="16">
        <f>IF(I499="","",IF(I499="Transactional",3,IF(I499="Commercial",2,1)))</f>
        <v/>
      </c>
      <c r="L499" s="16">
        <f>IF(G499="","",IF(G499&lt;=20,3,IF(G499&lt;=50,2,1)))</f>
        <v/>
      </c>
      <c r="M499" s="16">
        <f>IF(OR(J499="",K499="",L499=""),"",J499+K499+L499)</f>
        <v/>
      </c>
      <c r="N499" s="11" t="inlineStr">
        <is>
          <t>FAQ</t>
        </is>
      </c>
      <c r="O499" s="12" t="inlineStr">
        <is>
          <t>/faq</t>
        </is>
      </c>
      <c r="P499" s="12" t="inlineStr">
        <is>
          <t>FAQ</t>
        </is>
      </c>
      <c r="Q499" s="14" t="n"/>
      <c r="R499" s="14" t="n"/>
      <c r="S499" s="14" t="n"/>
      <c r="T499" s="12" t="inlineStr">
        <is>
          <t>Not started</t>
        </is>
      </c>
      <c r="U499" s="12" t="inlineStr">
        <is>
          <t>AI-generated idea: confirm real demand before writing a page for it</t>
        </is>
      </c>
    </row>
    <row r="500">
      <c r="A500" s="11" t="n">
        <v>499</v>
      </c>
      <c r="B500" s="12" t="inlineStr">
        <is>
          <t>Can we run a free trial or pilot to verify its accuracy and value before committing?</t>
        </is>
      </c>
      <c r="C500" s="17" t="inlineStr">
        <is>
          <t>AEO</t>
        </is>
      </c>
      <c r="D500" s="12" t="inlineStr">
        <is>
          <t>ChatGPT: CTO buying questions</t>
        </is>
      </c>
      <c r="E500" s="12" t="inlineStr">
        <is>
          <t>Pricing</t>
        </is>
      </c>
      <c r="F500" s="13" t="n"/>
      <c r="G500" s="13" t="n"/>
      <c r="H500" s="14" t="n"/>
      <c r="I500" s="12" t="inlineStr">
        <is>
          <t>Transactional</t>
        </is>
      </c>
      <c r="J500" s="15" t="n">
        <v>3</v>
      </c>
      <c r="K500" s="16">
        <f>IF(I500="","",IF(I500="Transactional",3,IF(I500="Commercial",2,1)))</f>
        <v/>
      </c>
      <c r="L500" s="16">
        <f>IF(G500="","",IF(G500&lt;=20,3,IF(G500&lt;=50,2,1)))</f>
        <v/>
      </c>
      <c r="M500" s="16">
        <f>IF(OR(J500="",K500="",L500=""),"",J500+K500+L500)</f>
        <v/>
      </c>
      <c r="N500" s="11" t="inlineStr">
        <is>
          <t>FAQ</t>
        </is>
      </c>
      <c r="O500" s="12" t="inlineStr">
        <is>
          <t>/pricing</t>
        </is>
      </c>
      <c r="P500" s="12" t="inlineStr">
        <is>
          <t>Solution</t>
        </is>
      </c>
      <c r="Q500" s="14" t="n"/>
      <c r="R500" s="14" t="n"/>
      <c r="S500" s="14" t="n"/>
      <c r="T500" s="12" t="inlineStr">
        <is>
          <t>Not started</t>
        </is>
      </c>
      <c r="U500" s="12" t="inlineStr">
        <is>
          <t>AI-generated idea: confirm real demand before writing a page for it</t>
        </is>
      </c>
    </row>
    <row r="501">
      <c r="A501" s="11" t="n">
        <v>500</v>
      </c>
      <c r="B501" s="12" t="inlineStr">
        <is>
          <t>ai coding tools spending</t>
        </is>
      </c>
      <c r="C501" s="11" t="inlineStr">
        <is>
          <t>SEO</t>
        </is>
      </c>
      <c r="D501" s="12" t="inlineStr">
        <is>
          <t>ChatGPT: spend search phrases</t>
        </is>
      </c>
      <c r="E501" s="12" t="inlineStr">
        <is>
          <t>Cost</t>
        </is>
      </c>
      <c r="F501" s="13" t="n"/>
      <c r="G501" s="13" t="n"/>
      <c r="H501" s="14" t="n"/>
      <c r="I501" s="12" t="inlineStr">
        <is>
          <t>Commercial</t>
        </is>
      </c>
      <c r="J501" s="15" t="n">
        <v>3</v>
      </c>
      <c r="K501" s="16">
        <f>IF(I501="","",IF(I501="Transactional",3,IF(I501="Commercial",2,1)))</f>
        <v/>
      </c>
      <c r="L501" s="16">
        <f>IF(G501="","",IF(G501&lt;=20,3,IF(G501&lt;=50,2,1)))</f>
        <v/>
      </c>
      <c r="M501" s="16">
        <f>IF(OR(J501="",K501="",L501=""),"",J501+K501+L501)</f>
        <v/>
      </c>
      <c r="N501" s="11" t="inlineStr">
        <is>
          <t>Secondary</t>
        </is>
      </c>
      <c r="O501" s="12" t="inlineStr">
        <is>
          <t>/ai-cost-tracking</t>
        </is>
      </c>
      <c r="P501" s="12" t="inlineStr">
        <is>
          <t>Interactive guide</t>
        </is>
      </c>
      <c r="Q501" s="14" t="n"/>
      <c r="R501" s="14" t="n"/>
      <c r="S501" s="14" t="n"/>
      <c r="T501" s="12" t="inlineStr">
        <is>
          <t>Not started</t>
        </is>
      </c>
      <c r="U501" s="12" t="inlineStr">
        <is>
          <t>AI-generated idea: confirm real demand before writing a page for it</t>
        </is>
      </c>
    </row>
    <row r="502">
      <c r="A502" s="11" t="n">
        <v>501</v>
      </c>
      <c r="B502" s="12" t="inlineStr">
        <is>
          <t>ai coding cost tracker</t>
        </is>
      </c>
      <c r="C502" s="11" t="inlineStr">
        <is>
          <t>SEO</t>
        </is>
      </c>
      <c r="D502" s="12" t="inlineStr">
        <is>
          <t>ChatGPT: spend search phrases</t>
        </is>
      </c>
      <c r="E502" s="12" t="inlineStr">
        <is>
          <t>Cost</t>
        </is>
      </c>
      <c r="F502" s="13" t="n"/>
      <c r="G502" s="13" t="n"/>
      <c r="H502" s="14" t="n"/>
      <c r="I502" s="12" t="inlineStr">
        <is>
          <t>Commercial</t>
        </is>
      </c>
      <c r="J502" s="15" t="n">
        <v>3</v>
      </c>
      <c r="K502" s="16">
        <f>IF(I502="","",IF(I502="Transactional",3,IF(I502="Commercial",2,1)))</f>
        <v/>
      </c>
      <c r="L502" s="16">
        <f>IF(G502="","",IF(G502&lt;=20,3,IF(G502&lt;=50,2,1)))</f>
        <v/>
      </c>
      <c r="M502" s="16">
        <f>IF(OR(J502="",K502="",L502=""),"",J502+K502+L502)</f>
        <v/>
      </c>
      <c r="N502" s="11" t="inlineStr">
        <is>
          <t>Secondary</t>
        </is>
      </c>
      <c r="O502" s="12" t="inlineStr">
        <is>
          <t>/ai-cost-tracking</t>
        </is>
      </c>
      <c r="P502" s="12" t="inlineStr">
        <is>
          <t>Interactive guide</t>
        </is>
      </c>
      <c r="Q502" s="14" t="n"/>
      <c r="R502" s="14" t="n"/>
      <c r="S502" s="14" t="n"/>
      <c r="T502" s="12" t="inlineStr">
        <is>
          <t>Not started</t>
        </is>
      </c>
      <c r="U502" s="12" t="inlineStr">
        <is>
          <t>AI-generated idea: confirm real demand before writing a page for it</t>
        </is>
      </c>
    </row>
    <row r="503">
      <c r="A503" s="11" t="n">
        <v>502</v>
      </c>
      <c r="B503" s="12" t="inlineStr">
        <is>
          <t>ai coding usage and cost tracking</t>
        </is>
      </c>
      <c r="C503" s="11" t="inlineStr">
        <is>
          <t>SEO</t>
        </is>
      </c>
      <c r="D503" s="12" t="inlineStr">
        <is>
          <t>ChatGPT: spend search phrases</t>
        </is>
      </c>
      <c r="E503" s="12" t="inlineStr">
        <is>
          <t>Cost</t>
        </is>
      </c>
      <c r="F503" s="13" t="n"/>
      <c r="G503" s="13" t="n"/>
      <c r="H503" s="14" t="n"/>
      <c r="I503" s="12" t="inlineStr">
        <is>
          <t>Commercial</t>
        </is>
      </c>
      <c r="J503" s="15" t="n">
        <v>3</v>
      </c>
      <c r="K503" s="16">
        <f>IF(I503="","",IF(I503="Transactional",3,IF(I503="Commercial",2,1)))</f>
        <v/>
      </c>
      <c r="L503" s="16">
        <f>IF(G503="","",IF(G503&lt;=20,3,IF(G503&lt;=50,2,1)))</f>
        <v/>
      </c>
      <c r="M503" s="16">
        <f>IF(OR(J503="",K503="",L503=""),"",J503+K503+L503)</f>
        <v/>
      </c>
      <c r="N503" s="11" t="inlineStr">
        <is>
          <t>Secondary</t>
        </is>
      </c>
      <c r="O503" s="12" t="inlineStr">
        <is>
          <t>/ai-cost-tracking</t>
        </is>
      </c>
      <c r="P503" s="12" t="inlineStr">
        <is>
          <t>Interactive guide</t>
        </is>
      </c>
      <c r="Q503" s="14" t="n"/>
      <c r="R503" s="14" t="n"/>
      <c r="S503" s="14" t="n"/>
      <c r="T503" s="12" t="inlineStr">
        <is>
          <t>Not started</t>
        </is>
      </c>
      <c r="U503" s="12" t="inlineStr">
        <is>
          <t>AI-generated idea: confirm real demand before writing a page for it</t>
        </is>
      </c>
    </row>
    <row r="504">
      <c r="A504" s="11" t="n">
        <v>503</v>
      </c>
      <c r="B504" s="12" t="inlineStr">
        <is>
          <t>ai coding assistant cost dashboard</t>
        </is>
      </c>
      <c r="C504" s="11" t="inlineStr">
        <is>
          <t>SEO</t>
        </is>
      </c>
      <c r="D504" s="12" t="inlineStr">
        <is>
          <t>ChatGPT: spend search phrases</t>
        </is>
      </c>
      <c r="E504" s="12" t="inlineStr">
        <is>
          <t>Cost</t>
        </is>
      </c>
      <c r="F504" s="13" t="n"/>
      <c r="G504" s="13" t="n"/>
      <c r="H504" s="14" t="n"/>
      <c r="I504" s="12" t="inlineStr">
        <is>
          <t>Commercial</t>
        </is>
      </c>
      <c r="J504" s="15" t="n">
        <v>3</v>
      </c>
      <c r="K504" s="16">
        <f>IF(I504="","",IF(I504="Transactional",3,IF(I504="Commercial",2,1)))</f>
        <v/>
      </c>
      <c r="L504" s="16">
        <f>IF(G504="","",IF(G504&lt;=20,3,IF(G504&lt;=50,2,1)))</f>
        <v/>
      </c>
      <c r="M504" s="16">
        <f>IF(OR(J504="",K504="",L504=""),"",J504+K504+L504)</f>
        <v/>
      </c>
      <c r="N504" s="11" t="inlineStr">
        <is>
          <t>Secondary</t>
        </is>
      </c>
      <c r="O504" s="12" t="inlineStr">
        <is>
          <t>/ai-cost-tracking</t>
        </is>
      </c>
      <c r="P504" s="12" t="inlineStr">
        <is>
          <t>Interactive guide</t>
        </is>
      </c>
      <c r="Q504" s="14" t="n"/>
      <c r="R504" s="14" t="n"/>
      <c r="S504" s="14" t="n"/>
      <c r="T504" s="12" t="inlineStr">
        <is>
          <t>Not started</t>
        </is>
      </c>
      <c r="U504" s="12" t="inlineStr">
        <is>
          <t>AI-generated idea: confirm real demand before writing a page for it</t>
        </is>
      </c>
    </row>
    <row r="505">
      <c r="A505" s="11" t="n">
        <v>504</v>
      </c>
      <c r="B505" s="12" t="inlineStr">
        <is>
          <t>ai coding tools expense management</t>
        </is>
      </c>
      <c r="C505" s="11" t="inlineStr">
        <is>
          <t>SEO</t>
        </is>
      </c>
      <c r="D505" s="12" t="inlineStr">
        <is>
          <t>ChatGPT: spend search phrases</t>
        </is>
      </c>
      <c r="E505" s="12" t="inlineStr">
        <is>
          <t>Cost</t>
        </is>
      </c>
      <c r="F505" s="13" t="n"/>
      <c r="G505" s="13" t="n"/>
      <c r="H505" s="14" t="n"/>
      <c r="I505" s="12" t="inlineStr">
        <is>
          <t>Commercial</t>
        </is>
      </c>
      <c r="J505" s="15" t="n">
        <v>3</v>
      </c>
      <c r="K505" s="16">
        <f>IF(I505="","",IF(I505="Transactional",3,IF(I505="Commercial",2,1)))</f>
        <v/>
      </c>
      <c r="L505" s="16">
        <f>IF(G505="","",IF(G505&lt;=20,3,IF(G505&lt;=50,2,1)))</f>
        <v/>
      </c>
      <c r="M505" s="16">
        <f>IF(OR(J505="",K505="",L505=""),"",J505+K505+L505)</f>
        <v/>
      </c>
      <c r="N505" s="11" t="inlineStr">
        <is>
          <t>Secondary</t>
        </is>
      </c>
      <c r="O505" s="12" t="inlineStr">
        <is>
          <t>/ai-cost-tracking</t>
        </is>
      </c>
      <c r="P505" s="12" t="inlineStr">
        <is>
          <t>Interactive guide</t>
        </is>
      </c>
      <c r="Q505" s="14" t="n"/>
      <c r="R505" s="14" t="n"/>
      <c r="S505" s="14" t="n"/>
      <c r="T505" s="12" t="inlineStr">
        <is>
          <t>Not started</t>
        </is>
      </c>
      <c r="U505" s="12" t="inlineStr">
        <is>
          <t>AI-generated idea: confirm real demand before writing a page for it</t>
        </is>
      </c>
    </row>
    <row r="506">
      <c r="A506" s="11" t="n">
        <v>505</v>
      </c>
      <c r="B506" s="12" t="inlineStr">
        <is>
          <t>ai coding tools cost monitoring</t>
        </is>
      </c>
      <c r="C506" s="11" t="inlineStr">
        <is>
          <t>SEO</t>
        </is>
      </c>
      <c r="D506" s="12" t="inlineStr">
        <is>
          <t>ChatGPT: spend search phrases</t>
        </is>
      </c>
      <c r="E506" s="12" t="inlineStr">
        <is>
          <t>Cost</t>
        </is>
      </c>
      <c r="F506" s="13" t="n"/>
      <c r="G506" s="13" t="n"/>
      <c r="H506" s="14" t="n"/>
      <c r="I506" s="12" t="inlineStr">
        <is>
          <t>Commercial</t>
        </is>
      </c>
      <c r="J506" s="15" t="n">
        <v>3</v>
      </c>
      <c r="K506" s="16">
        <f>IF(I506="","",IF(I506="Transactional",3,IF(I506="Commercial",2,1)))</f>
        <v/>
      </c>
      <c r="L506" s="16">
        <f>IF(G506="","",IF(G506&lt;=20,3,IF(G506&lt;=50,2,1)))</f>
        <v/>
      </c>
      <c r="M506" s="16">
        <f>IF(OR(J506="",K506="",L506=""),"",J506+K506+L506)</f>
        <v/>
      </c>
      <c r="N506" s="11" t="inlineStr">
        <is>
          <t>Secondary</t>
        </is>
      </c>
      <c r="O506" s="12" t="inlineStr">
        <is>
          <t>/ai-cost-tracking</t>
        </is>
      </c>
      <c r="P506" s="12" t="inlineStr">
        <is>
          <t>Interactive guide</t>
        </is>
      </c>
      <c r="Q506" s="14" t="n"/>
      <c r="R506" s="14" t="n"/>
      <c r="S506" s="14" t="n"/>
      <c r="T506" s="12" t="inlineStr">
        <is>
          <t>Not started</t>
        </is>
      </c>
      <c r="U506" s="12" t="inlineStr">
        <is>
          <t>AI-generated idea: confirm real demand before writing a page for it</t>
        </is>
      </c>
    </row>
    <row r="507">
      <c r="A507" s="11" t="n">
        <v>506</v>
      </c>
      <c r="B507" s="12" t="inlineStr">
        <is>
          <t>ai coding tools cost per employee</t>
        </is>
      </c>
      <c r="C507" s="11" t="inlineStr">
        <is>
          <t>SEO</t>
        </is>
      </c>
      <c r="D507" s="12" t="inlineStr">
        <is>
          <t>ChatGPT: spend search phrases</t>
        </is>
      </c>
      <c r="E507" s="12" t="inlineStr">
        <is>
          <t>Cost</t>
        </is>
      </c>
      <c r="F507" s="13" t="n"/>
      <c r="G507" s="13" t="n"/>
      <c r="H507" s="14" t="n"/>
      <c r="I507" s="12" t="inlineStr">
        <is>
          <t>Commercial</t>
        </is>
      </c>
      <c r="J507" s="15" t="n">
        <v>3</v>
      </c>
      <c r="K507" s="16">
        <f>IF(I507="","",IF(I507="Transactional",3,IF(I507="Commercial",2,1)))</f>
        <v/>
      </c>
      <c r="L507" s="16">
        <f>IF(G507="","",IF(G507&lt;=20,3,IF(G507&lt;=50,2,1)))</f>
        <v/>
      </c>
      <c r="M507" s="16">
        <f>IF(OR(J507="",K507="",L507=""),"",J507+K507+L507)</f>
        <v/>
      </c>
      <c r="N507" s="11" t="inlineStr">
        <is>
          <t>Secondary</t>
        </is>
      </c>
      <c r="O507" s="12" t="inlineStr">
        <is>
          <t>/ai-cost-tracking</t>
        </is>
      </c>
      <c r="P507" s="12" t="inlineStr">
        <is>
          <t>Interactive guide</t>
        </is>
      </c>
      <c r="Q507" s="14" t="n"/>
      <c r="R507" s="14" t="n"/>
      <c r="S507" s="14" t="n"/>
      <c r="T507" s="12" t="inlineStr">
        <is>
          <t>Not started</t>
        </is>
      </c>
      <c r="U507" s="12" t="inlineStr">
        <is>
          <t>AI-generated idea: confirm real demand before writing a page for it</t>
        </is>
      </c>
    </row>
    <row r="508">
      <c r="A508" s="11" t="n">
        <v>507</v>
      </c>
      <c r="B508" s="12" t="inlineStr">
        <is>
          <t>ai coding spend by team</t>
        </is>
      </c>
      <c r="C508" s="11" t="inlineStr">
        <is>
          <t>SEO</t>
        </is>
      </c>
      <c r="D508" s="12" t="inlineStr">
        <is>
          <t>ChatGPT: spend search phrases</t>
        </is>
      </c>
      <c r="E508" s="12" t="inlineStr">
        <is>
          <t>Cost</t>
        </is>
      </c>
      <c r="F508" s="13" t="n"/>
      <c r="G508" s="13" t="n"/>
      <c r="H508" s="14" t="n"/>
      <c r="I508" s="12" t="inlineStr">
        <is>
          <t>Commercial</t>
        </is>
      </c>
      <c r="J508" s="15" t="n">
        <v>3</v>
      </c>
      <c r="K508" s="16">
        <f>IF(I508="","",IF(I508="Transactional",3,IF(I508="Commercial",2,1)))</f>
        <v/>
      </c>
      <c r="L508" s="16">
        <f>IF(G508="","",IF(G508&lt;=20,3,IF(G508&lt;=50,2,1)))</f>
        <v/>
      </c>
      <c r="M508" s="16">
        <f>IF(OR(J508="",K508="",L508=""),"",J508+K508+L508)</f>
        <v/>
      </c>
      <c r="N508" s="11" t="inlineStr">
        <is>
          <t>Secondary</t>
        </is>
      </c>
      <c r="O508" s="12" t="inlineStr">
        <is>
          <t>/ai-cost-tracking</t>
        </is>
      </c>
      <c r="P508" s="12" t="inlineStr">
        <is>
          <t>Interactive guide</t>
        </is>
      </c>
      <c r="Q508" s="14" t="n"/>
      <c r="R508" s="14" t="n"/>
      <c r="S508" s="14" t="n"/>
      <c r="T508" s="12" t="inlineStr">
        <is>
          <t>Not started</t>
        </is>
      </c>
      <c r="U508" s="12" t="inlineStr">
        <is>
          <t>AI-generated idea: confirm real demand before writing a page for it</t>
        </is>
      </c>
    </row>
    <row r="509">
      <c r="A509" s="11" t="n">
        <v>508</v>
      </c>
      <c r="B509" s="12" t="inlineStr">
        <is>
          <t>engineering team ai spending</t>
        </is>
      </c>
      <c r="C509" s="11" t="inlineStr">
        <is>
          <t>SEO</t>
        </is>
      </c>
      <c r="D509" s="12" t="inlineStr">
        <is>
          <t>ChatGPT: spend search phrases</t>
        </is>
      </c>
      <c r="E509" s="12" t="inlineStr">
        <is>
          <t>Cost</t>
        </is>
      </c>
      <c r="F509" s="13" t="n"/>
      <c r="G509" s="13" t="n"/>
      <c r="H509" s="14" t="n"/>
      <c r="I509" s="12" t="inlineStr">
        <is>
          <t>Commercial</t>
        </is>
      </c>
      <c r="J509" s="15" t="n">
        <v>3</v>
      </c>
      <c r="K509" s="16">
        <f>IF(I509="","",IF(I509="Transactional",3,IF(I509="Commercial",2,1)))</f>
        <v/>
      </c>
      <c r="L509" s="16">
        <f>IF(G509="","",IF(G509&lt;=20,3,IF(G509&lt;=50,2,1)))</f>
        <v/>
      </c>
      <c r="M509" s="16">
        <f>IF(OR(J509="",K509="",L509=""),"",J509+K509+L509)</f>
        <v/>
      </c>
      <c r="N509" s="11" t="inlineStr">
        <is>
          <t>Secondary</t>
        </is>
      </c>
      <c r="O509" s="12" t="inlineStr">
        <is>
          <t>/ai-cost-tracking</t>
        </is>
      </c>
      <c r="P509" s="12" t="inlineStr">
        <is>
          <t>Interactive guide</t>
        </is>
      </c>
      <c r="Q509" s="14" t="n"/>
      <c r="R509" s="14" t="n"/>
      <c r="S509" s="14" t="n"/>
      <c r="T509" s="12" t="inlineStr">
        <is>
          <t>Not started</t>
        </is>
      </c>
      <c r="U509" s="12" t="inlineStr">
        <is>
          <t>AI-generated idea: confirm real demand before writing a page for it</t>
        </is>
      </c>
    </row>
    <row r="510">
      <c r="A510" s="11" t="n">
        <v>509</v>
      </c>
      <c r="B510" s="12" t="inlineStr">
        <is>
          <t>track ai tool spending across teams</t>
        </is>
      </c>
      <c r="C510" s="11" t="inlineStr">
        <is>
          <t>SEO</t>
        </is>
      </c>
      <c r="D510" s="12" t="inlineStr">
        <is>
          <t>ChatGPT: spend search phrases</t>
        </is>
      </c>
      <c r="E510" s="12" t="inlineStr">
        <is>
          <t>Cost</t>
        </is>
      </c>
      <c r="F510" s="13" t="n"/>
      <c r="G510" s="13" t="n"/>
      <c r="H510" s="14" t="n"/>
      <c r="I510" s="12" t="inlineStr">
        <is>
          <t>Commercial</t>
        </is>
      </c>
      <c r="J510" s="15" t="n">
        <v>3</v>
      </c>
      <c r="K510" s="16">
        <f>IF(I510="","",IF(I510="Transactional",3,IF(I510="Commercial",2,1)))</f>
        <v/>
      </c>
      <c r="L510" s="16">
        <f>IF(G510="","",IF(G510&lt;=20,3,IF(G510&lt;=50,2,1)))</f>
        <v/>
      </c>
      <c r="M510" s="16">
        <f>IF(OR(J510="",K510="",L510=""),"",J510+K510+L510)</f>
        <v/>
      </c>
      <c r="N510" s="11" t="inlineStr">
        <is>
          <t>Secondary</t>
        </is>
      </c>
      <c r="O510" s="12" t="inlineStr">
        <is>
          <t>/ai-cost-tracking</t>
        </is>
      </c>
      <c r="P510" s="12" t="inlineStr">
        <is>
          <t>Interactive guide</t>
        </is>
      </c>
      <c r="Q510" s="14" t="n"/>
      <c r="R510" s="14" t="n"/>
      <c r="S510" s="14" t="n"/>
      <c r="T510" s="12" t="inlineStr">
        <is>
          <t>Not started</t>
        </is>
      </c>
      <c r="U510" s="12" t="inlineStr">
        <is>
          <t>AI-generated idea: confirm real demand before writing a page for it</t>
        </is>
      </c>
    </row>
    <row r="511">
      <c r="A511" s="11" t="n">
        <v>510</v>
      </c>
      <c r="B511" s="12" t="inlineStr">
        <is>
          <t>ai coding tools budget management</t>
        </is>
      </c>
      <c r="C511" s="11" t="inlineStr">
        <is>
          <t>SEO</t>
        </is>
      </c>
      <c r="D511" s="12" t="inlineStr">
        <is>
          <t>ChatGPT: spend search phrases</t>
        </is>
      </c>
      <c r="E511" s="12" t="inlineStr">
        <is>
          <t>Cost</t>
        </is>
      </c>
      <c r="F511" s="13" t="n"/>
      <c r="G511" s="13" t="n"/>
      <c r="H511" s="14" t="n"/>
      <c r="I511" s="12" t="inlineStr">
        <is>
          <t>Commercial</t>
        </is>
      </c>
      <c r="J511" s="15" t="n">
        <v>2</v>
      </c>
      <c r="K511" s="16">
        <f>IF(I511="","",IF(I511="Transactional",3,IF(I511="Commercial",2,1)))</f>
        <v/>
      </c>
      <c r="L511" s="16">
        <f>IF(G511="","",IF(G511&lt;=20,3,IF(G511&lt;=50,2,1)))</f>
        <v/>
      </c>
      <c r="M511" s="16">
        <f>IF(OR(J511="",K511="",L511=""),"",J511+K511+L511)</f>
        <v/>
      </c>
      <c r="N511" s="11" t="inlineStr">
        <is>
          <t>Secondary</t>
        </is>
      </c>
      <c r="O511" s="12" t="inlineStr">
        <is>
          <t>/ai-cost-tracking</t>
        </is>
      </c>
      <c r="P511" s="12" t="inlineStr">
        <is>
          <t>Interactive guide</t>
        </is>
      </c>
      <c r="Q511" s="14" t="n"/>
      <c r="R511" s="14" t="n"/>
      <c r="S511" s="14" t="n"/>
      <c r="T511" s="12" t="inlineStr">
        <is>
          <t>Not started</t>
        </is>
      </c>
      <c r="U511" s="12" t="inlineStr">
        <is>
          <t>AI-generated idea: confirm real demand before writing a page for it. Check with product: budget features</t>
        </is>
      </c>
    </row>
    <row r="512">
      <c r="A512" s="11" t="n">
        <v>511</v>
      </c>
      <c r="B512" s="12" t="inlineStr">
        <is>
          <t>ai coding tools cost</t>
        </is>
      </c>
      <c r="C512" s="11" t="inlineStr">
        <is>
          <t>SEO</t>
        </is>
      </c>
      <c r="D512" s="12" t="inlineStr">
        <is>
          <t>ChatGPT: spend search phrases</t>
        </is>
      </c>
      <c r="E512" s="12" t="inlineStr">
        <is>
          <t>Cost</t>
        </is>
      </c>
      <c r="F512" s="13" t="n"/>
      <c r="G512" s="13" t="n"/>
      <c r="H512" s="14" t="n"/>
      <c r="I512" s="12" t="inlineStr">
        <is>
          <t>Informational</t>
        </is>
      </c>
      <c r="J512" s="15" t="n">
        <v>2</v>
      </c>
      <c r="K512" s="16">
        <f>IF(I512="","",IF(I512="Transactional",3,IF(I512="Commercial",2,1)))</f>
        <v/>
      </c>
      <c r="L512" s="16">
        <f>IF(G512="","",IF(G512&lt;=20,3,IF(G512&lt;=50,2,1)))</f>
        <v/>
      </c>
      <c r="M512" s="16">
        <f>IF(OR(J512="",K512="",L512=""),"",J512+K512+L512)</f>
        <v/>
      </c>
      <c r="N512" s="11" t="inlineStr">
        <is>
          <t>Secondary</t>
        </is>
      </c>
      <c r="O512" s="12" t="inlineStr">
        <is>
          <t>/ai-cost-tracking</t>
        </is>
      </c>
      <c r="P512" s="12" t="inlineStr">
        <is>
          <t>Interactive guide</t>
        </is>
      </c>
      <c r="Q512" s="14" t="n"/>
      <c r="R512" s="14" t="n"/>
      <c r="S512" s="14" t="n"/>
      <c r="T512" s="12" t="inlineStr">
        <is>
          <t>Not started</t>
        </is>
      </c>
      <c r="U512" s="12" t="inlineStr">
        <is>
          <t>AI-generated idea: confirm real demand before writing a page for it</t>
        </is>
      </c>
    </row>
    <row r="513">
      <c r="A513" s="11" t="n">
        <v>512</v>
      </c>
      <c r="B513" s="12" t="inlineStr">
        <is>
          <t>enterprise ai coding costs</t>
        </is>
      </c>
      <c r="C513" s="11" t="inlineStr">
        <is>
          <t>SEO</t>
        </is>
      </c>
      <c r="D513" s="12" t="inlineStr">
        <is>
          <t>ChatGPT: spend search phrases</t>
        </is>
      </c>
      <c r="E513" s="12" t="inlineStr">
        <is>
          <t>Cost</t>
        </is>
      </c>
      <c r="F513" s="13" t="n"/>
      <c r="G513" s="13" t="n"/>
      <c r="H513" s="14" t="n"/>
      <c r="I513" s="12" t="inlineStr">
        <is>
          <t>Informational</t>
        </is>
      </c>
      <c r="J513" s="15" t="n">
        <v>2</v>
      </c>
      <c r="K513" s="16">
        <f>IF(I513="","",IF(I513="Transactional",3,IF(I513="Commercial",2,1)))</f>
        <v/>
      </c>
      <c r="L513" s="16">
        <f>IF(G513="","",IF(G513&lt;=20,3,IF(G513&lt;=50,2,1)))</f>
        <v/>
      </c>
      <c r="M513" s="16">
        <f>IF(OR(J513="",K513="",L513=""),"",J513+K513+L513)</f>
        <v/>
      </c>
      <c r="N513" s="11" t="inlineStr">
        <is>
          <t>Secondary</t>
        </is>
      </c>
      <c r="O513" s="12" t="inlineStr">
        <is>
          <t>/ai-cost-tracking</t>
        </is>
      </c>
      <c r="P513" s="12" t="inlineStr">
        <is>
          <t>Interactive guide</t>
        </is>
      </c>
      <c r="Q513" s="14" t="n"/>
      <c r="R513" s="14" t="n"/>
      <c r="S513" s="14" t="n"/>
      <c r="T513" s="12" t="inlineStr">
        <is>
          <t>Not started</t>
        </is>
      </c>
      <c r="U513" s="12" t="inlineStr">
        <is>
          <t>AI-generated idea: confirm real demand before writing a page for it</t>
        </is>
      </c>
    </row>
    <row r="514">
      <c r="A514" s="11" t="n">
        <v>513</v>
      </c>
      <c r="B514" s="12" t="inlineStr">
        <is>
          <t>ai coding assistant pricing</t>
        </is>
      </c>
      <c r="C514" s="11" t="inlineStr">
        <is>
          <t>SEO</t>
        </is>
      </c>
      <c r="D514" s="12" t="inlineStr">
        <is>
          <t>ChatGPT: spend search phrases</t>
        </is>
      </c>
      <c r="E514" s="12" t="inlineStr">
        <is>
          <t>Cost</t>
        </is>
      </c>
      <c r="F514" s="13" t="n"/>
      <c r="G514" s="13" t="n"/>
      <c r="H514" s="14" t="n"/>
      <c r="I514" s="12" t="inlineStr">
        <is>
          <t>Informational</t>
        </is>
      </c>
      <c r="J514" s="15" t="n">
        <v>1</v>
      </c>
      <c r="K514" s="16">
        <f>IF(I514="","",IF(I514="Transactional",3,IF(I514="Commercial",2,1)))</f>
        <v/>
      </c>
      <c r="L514" s="16">
        <f>IF(G514="","",IF(G514&lt;=20,3,IF(G514&lt;=50,2,1)))</f>
        <v/>
      </c>
      <c r="M514" s="16">
        <f>IF(OR(J514="",K514="",L514=""),"",J514+K514+L514)</f>
        <v/>
      </c>
      <c r="N514" s="11" t="inlineStr">
        <is>
          <t>Main</t>
        </is>
      </c>
      <c r="O514" s="12" t="inlineStr">
        <is>
          <t>/ai-coding-assistant-pricing</t>
        </is>
      </c>
      <c r="P514" s="12" t="inlineStr">
        <is>
          <t>Interactive tool</t>
        </is>
      </c>
      <c r="Q514" s="14" t="inlineStr">
        <is>
          <t>1 getdx.com · 2 buildmvpfast.com · 3 jetbrains.com (vendor pricing) · 4 stratas.no · 5 favtray.com. Year-dated comparisons. Checked 20 Oct 2026</t>
        </is>
      </c>
      <c r="R514" s="14" t="n"/>
      <c r="S514" s="14" t="inlineStr">
        <is>
          <t>Competitors are static, year-dated lists. Ours: always-current comparison table + team cost calculator + plan finder, with a visible 'Prices checked' date</t>
        </is>
      </c>
      <c r="T514" s="12" t="inlineStr">
        <is>
          <t>Not started</t>
        </is>
      </c>
      <c r="U514" s="12" t="inlineStr">
        <is>
          <t>Google checked 20 Oct 2026: DX, JetBrains and comparison blogs target this, so demand looks real; add volume to confirm. People comparing tool prices; an interactive pricing comparison can catch them</t>
        </is>
      </c>
    </row>
    <row r="515">
      <c r="A515" s="11" t="n">
        <v>514</v>
      </c>
      <c r="B515" s="12" t="inlineStr">
        <is>
          <t>ai developer tools cost</t>
        </is>
      </c>
      <c r="C515" s="11" t="inlineStr">
        <is>
          <t>SEO</t>
        </is>
      </c>
      <c r="D515" s="12" t="inlineStr">
        <is>
          <t>ChatGPT: spend search phrases</t>
        </is>
      </c>
      <c r="E515" s="12" t="inlineStr">
        <is>
          <t>Cost</t>
        </is>
      </c>
      <c r="F515" s="13" t="n"/>
      <c r="G515" s="13" t="n"/>
      <c r="H515" s="14" t="n"/>
      <c r="I515" s="12" t="inlineStr">
        <is>
          <t>Informational</t>
        </is>
      </c>
      <c r="J515" s="15" t="n">
        <v>1</v>
      </c>
      <c r="K515" s="16">
        <f>IF(I515="","",IF(I515="Transactional",3,IF(I515="Commercial",2,1)))</f>
        <v/>
      </c>
      <c r="L515" s="16">
        <f>IF(G515="","",IF(G515&lt;=20,3,IF(G515&lt;=50,2,1)))</f>
        <v/>
      </c>
      <c r="M515" s="16">
        <f>IF(OR(J515="",K515="",L515=""),"",J515+K515+L515)</f>
        <v/>
      </c>
      <c r="N515" s="11" t="inlineStr">
        <is>
          <t>Secondary</t>
        </is>
      </c>
      <c r="O515" s="12" t="inlineStr">
        <is>
          <t>/ai-coding-assistant-pricing</t>
        </is>
      </c>
      <c r="P515" s="12" t="inlineStr">
        <is>
          <t>Interactive tool</t>
        </is>
      </c>
      <c r="Q515" s="14" t="n"/>
      <c r="R515" s="14" t="n"/>
      <c r="S515" s="14" t="n"/>
      <c r="T515" s="12" t="inlineStr">
        <is>
          <t>Not started</t>
        </is>
      </c>
      <c r="U515" s="12" t="inlineStr">
        <is>
          <t>Google checked 20 Oct 2026: DX, JetBrains and comparison blogs target this, so demand looks real; add volume to confirm. People comparing tool prices; an interactive pricing comparison can catch them</t>
        </is>
      </c>
    </row>
    <row r="516">
      <c r="A516" s="11" t="n">
        <v>515</v>
      </c>
      <c r="B516" s="12" t="inlineStr">
        <is>
          <t>ai coding assistant usage tracking</t>
        </is>
      </c>
      <c r="C516" s="11" t="inlineStr">
        <is>
          <t>SEO</t>
        </is>
      </c>
      <c r="D516" s="12" t="inlineStr">
        <is>
          <t>ChatGPT: spend search phrases</t>
        </is>
      </c>
      <c r="E516" s="12" t="inlineStr">
        <is>
          <t>Category</t>
        </is>
      </c>
      <c r="F516" s="13" t="n"/>
      <c r="G516" s="13" t="n"/>
      <c r="H516" s="14" t="n"/>
      <c r="I516" s="12" t="inlineStr">
        <is>
          <t>Commercial</t>
        </is>
      </c>
      <c r="J516" s="15" t="n">
        <v>3</v>
      </c>
      <c r="K516" s="16">
        <f>IF(I516="","",IF(I516="Transactional",3,IF(I516="Commercial",2,1)))</f>
        <v/>
      </c>
      <c r="L516" s="16">
        <f>IF(G516="","",IF(G516&lt;=20,3,IF(G516&lt;=50,2,1)))</f>
        <v/>
      </c>
      <c r="M516" s="16">
        <f>IF(OR(J516="",K516="",L516=""),"",J516+K516+L516)</f>
        <v/>
      </c>
      <c r="N516" s="11" t="inlineStr">
        <is>
          <t>Secondary</t>
        </is>
      </c>
      <c r="O516" s="12" t="inlineStr">
        <is>
          <t>/ai-coding-analytics</t>
        </is>
      </c>
      <c r="P516" s="12" t="inlineStr">
        <is>
          <t>Solution</t>
        </is>
      </c>
      <c r="Q516" s="14" t="n"/>
      <c r="R516" s="14" t="n"/>
      <c r="S516" s="14" t="n"/>
      <c r="T516" s="12" t="inlineStr">
        <is>
          <t>Not started</t>
        </is>
      </c>
      <c r="U516" s="12" t="inlineStr">
        <is>
          <t>AI-generated idea: confirm real demand before writing a page for it</t>
        </is>
      </c>
    </row>
    <row r="517">
      <c r="A517" s="11" t="n">
        <v>516</v>
      </c>
      <c r="B517" s="12" t="inlineStr">
        <is>
          <t>ai coding tool usage analytics</t>
        </is>
      </c>
      <c r="C517" s="11" t="inlineStr">
        <is>
          <t>SEO</t>
        </is>
      </c>
      <c r="D517" s="12" t="inlineStr">
        <is>
          <t>ChatGPT: spend search phrases</t>
        </is>
      </c>
      <c r="E517" s="12" t="inlineStr">
        <is>
          <t>Category</t>
        </is>
      </c>
      <c r="F517" s="13" t="n"/>
      <c r="G517" s="13" t="n"/>
      <c r="H517" s="14" t="n"/>
      <c r="I517" s="12" t="inlineStr">
        <is>
          <t>Commercial</t>
        </is>
      </c>
      <c r="J517" s="15" t="n">
        <v>3</v>
      </c>
      <c r="K517" s="16">
        <f>IF(I517="","",IF(I517="Transactional",3,IF(I517="Commercial",2,1)))</f>
        <v/>
      </c>
      <c r="L517" s="16">
        <f>IF(G517="","",IF(G517&lt;=20,3,IF(G517&lt;=50,2,1)))</f>
        <v/>
      </c>
      <c r="M517" s="16">
        <f>IF(OR(J517="",K517="",L517=""),"",J517+K517+L517)</f>
        <v/>
      </c>
      <c r="N517" s="11" t="inlineStr">
        <is>
          <t>Secondary</t>
        </is>
      </c>
      <c r="O517" s="12" t="inlineStr">
        <is>
          <t>/ai-coding-analytics</t>
        </is>
      </c>
      <c r="P517" s="12" t="inlineStr">
        <is>
          <t>Solution</t>
        </is>
      </c>
      <c r="Q517" s="14" t="n"/>
      <c r="R517" s="14" t="n"/>
      <c r="S517" s="14" t="n"/>
      <c r="T517" s="12" t="inlineStr">
        <is>
          <t>Not started</t>
        </is>
      </c>
      <c r="U517" s="12" t="inlineStr">
        <is>
          <t>AI-generated idea: confirm real demand before writing a page for it</t>
        </is>
      </c>
    </row>
    <row r="518">
      <c r="A518" s="11" t="n">
        <v>517</v>
      </c>
      <c r="B518" s="12" t="inlineStr">
        <is>
          <t>ai developer productivity cost tracking</t>
        </is>
      </c>
      <c r="C518" s="11" t="inlineStr">
        <is>
          <t>SEO</t>
        </is>
      </c>
      <c r="D518" s="12" t="inlineStr">
        <is>
          <t>ChatGPT: spend search phrases</t>
        </is>
      </c>
      <c r="E518" s="12" t="inlineStr">
        <is>
          <t>Engineering Intelligence</t>
        </is>
      </c>
      <c r="F518" s="13" t="n"/>
      <c r="G518" s="13" t="n"/>
      <c r="H518" s="14" t="n"/>
      <c r="I518" s="12" t="inlineStr">
        <is>
          <t>Commercial</t>
        </is>
      </c>
      <c r="J518" s="15" t="n">
        <v>2</v>
      </c>
      <c r="K518" s="16">
        <f>IF(I518="","",IF(I518="Transactional",3,IF(I518="Commercial",2,1)))</f>
        <v/>
      </c>
      <c r="L518" s="16">
        <f>IF(G518="","",IF(G518&lt;=20,3,IF(G518&lt;=50,2,1)))</f>
        <v/>
      </c>
      <c r="M518" s="16">
        <f>IF(OR(J518="",K518="",L518=""),"",J518+K518+L518)</f>
        <v/>
      </c>
      <c r="N518" s="11" t="inlineStr">
        <is>
          <t>Secondary</t>
        </is>
      </c>
      <c r="O518" s="12" t="inlineStr">
        <is>
          <t>/engineering-intelligence</t>
        </is>
      </c>
      <c r="P518" s="12" t="inlineStr">
        <is>
          <t>Solution</t>
        </is>
      </c>
      <c r="Q518" s="14" t="n"/>
      <c r="R518" s="14" t="n"/>
      <c r="S518" s="14" t="n"/>
      <c r="T518" s="12" t="inlineStr">
        <is>
          <t>Not started</t>
        </is>
      </c>
      <c r="U518" s="12" t="inlineStr">
        <is>
          <t>AI-generated idea: confirm real demand before writing a page for it</t>
        </is>
      </c>
    </row>
    <row r="519">
      <c r="A519" s="11" t="n">
        <v>518</v>
      </c>
      <c r="B519" s="12" t="inlineStr">
        <is>
          <t>ai coding subscription management</t>
        </is>
      </c>
      <c r="C519" s="11" t="inlineStr">
        <is>
          <t>SEO</t>
        </is>
      </c>
      <c r="D519" s="12" t="inlineStr">
        <is>
          <t>ChatGPT: spend search phrases</t>
        </is>
      </c>
      <c r="E519" s="12" t="inlineStr">
        <is>
          <t>Shadow AI &amp; Seats</t>
        </is>
      </c>
      <c r="F519" s="13" t="n"/>
      <c r="G519" s="13" t="n"/>
      <c r="H519" s="14" t="n"/>
      <c r="I519" s="12" t="inlineStr">
        <is>
          <t>Commercial</t>
        </is>
      </c>
      <c r="J519" s="15" t="n">
        <v>2</v>
      </c>
      <c r="K519" s="16">
        <f>IF(I519="","",IF(I519="Transactional",3,IF(I519="Commercial",2,1)))</f>
        <v/>
      </c>
      <c r="L519" s="16">
        <f>IF(G519="","",IF(G519&lt;=20,3,IF(G519&lt;=50,2,1)))</f>
        <v/>
      </c>
      <c r="M519" s="16">
        <f>IF(OR(J519="",K519="",L519=""),"",J519+K519+L519)</f>
        <v/>
      </c>
      <c r="N519" s="11" t="inlineStr">
        <is>
          <t>Secondary</t>
        </is>
      </c>
      <c r="O519" s="12" t="inlineStr">
        <is>
          <t>/shadow-ai</t>
        </is>
      </c>
      <c r="P519" s="12" t="inlineStr">
        <is>
          <t>Solution</t>
        </is>
      </c>
      <c r="Q519" s="14" t="n"/>
      <c r="R519" s="14" t="n"/>
      <c r="S519" s="14" t="n"/>
      <c r="T519" s="12" t="inlineStr">
        <is>
          <t>Not started</t>
        </is>
      </c>
      <c r="U519" s="12" t="inlineStr">
        <is>
          <t>AI-generated idea: confirm real demand before writing a page for it</t>
        </is>
      </c>
    </row>
    <row r="520">
      <c r="A520" s="11" t="n">
        <v>519</v>
      </c>
      <c r="B520" s="12" t="inlineStr">
        <is>
          <t>claude code token usage tracking</t>
        </is>
      </c>
      <c r="C520" s="11" t="inlineStr">
        <is>
          <t>SEO</t>
        </is>
      </c>
      <c r="D520" s="12" t="inlineStr">
        <is>
          <t>ChatGPT: spend search phrases</t>
        </is>
      </c>
      <c r="E520" s="12" t="inlineStr">
        <is>
          <t>Tool: Claude Code</t>
        </is>
      </c>
      <c r="F520" s="13" t="n"/>
      <c r="G520" s="13" t="n"/>
      <c r="H520" s="14" t="n"/>
      <c r="I520" s="12" t="inlineStr">
        <is>
          <t>Commercial</t>
        </is>
      </c>
      <c r="J520" s="15" t="n">
        <v>3</v>
      </c>
      <c r="K520" s="16">
        <f>IF(I520="","",IF(I520="Transactional",3,IF(I520="Commercial",2,1)))</f>
        <v/>
      </c>
      <c r="L520" s="16">
        <f>IF(G520="","",IF(G520&lt;=20,3,IF(G520&lt;=50,2,1)))</f>
        <v/>
      </c>
      <c r="M520" s="16">
        <f>IF(OR(J520="",K520="",L520=""),"",J520+K520+L520)</f>
        <v/>
      </c>
      <c r="N520" s="11" t="inlineStr">
        <is>
          <t>Secondary</t>
        </is>
      </c>
      <c r="O520" s="12" t="inlineStr">
        <is>
          <t>/integrations/claude-code</t>
        </is>
      </c>
      <c r="P520" s="12" t="inlineStr">
        <is>
          <t>Integration</t>
        </is>
      </c>
      <c r="Q520" s="14" t="n"/>
      <c r="R520" s="14" t="n"/>
      <c r="S520" s="14" t="n"/>
      <c r="T520" s="12" t="inlineStr">
        <is>
          <t>Not started</t>
        </is>
      </c>
      <c r="U520" s="12" t="inlineStr">
        <is>
          <t>AI-generated idea: confirm real demand before writing a page for it</t>
        </is>
      </c>
    </row>
    <row r="521">
      <c r="A521" s="11" t="n">
        <v>520</v>
      </c>
      <c r="B521" s="12" t="inlineStr">
        <is>
          <t>claude code team spending</t>
        </is>
      </c>
      <c r="C521" s="11" t="inlineStr">
        <is>
          <t>SEO</t>
        </is>
      </c>
      <c r="D521" s="12" t="inlineStr">
        <is>
          <t>ChatGPT: spend search phrases</t>
        </is>
      </c>
      <c r="E521" s="12" t="inlineStr">
        <is>
          <t>Tool: Claude Code</t>
        </is>
      </c>
      <c r="F521" s="13" t="n"/>
      <c r="G521" s="13" t="n"/>
      <c r="H521" s="14" t="n"/>
      <c r="I521" s="12" t="inlineStr">
        <is>
          <t>Commercial</t>
        </is>
      </c>
      <c r="J521" s="15" t="n">
        <v>3</v>
      </c>
      <c r="K521" s="16">
        <f>IF(I521="","",IF(I521="Transactional",3,IF(I521="Commercial",2,1)))</f>
        <v/>
      </c>
      <c r="L521" s="16">
        <f>IF(G521="","",IF(G521&lt;=20,3,IF(G521&lt;=50,2,1)))</f>
        <v/>
      </c>
      <c r="M521" s="16">
        <f>IF(OR(J521="",K521="",L521=""),"",J521+K521+L521)</f>
        <v/>
      </c>
      <c r="N521" s="11" t="inlineStr">
        <is>
          <t>Secondary</t>
        </is>
      </c>
      <c r="O521" s="12" t="inlineStr">
        <is>
          <t>/integrations/claude-code</t>
        </is>
      </c>
      <c r="P521" s="12" t="inlineStr">
        <is>
          <t>Integration</t>
        </is>
      </c>
      <c r="Q521" s="14" t="n"/>
      <c r="R521" s="14" t="n"/>
      <c r="S521" s="14" t="n"/>
      <c r="T521" s="12" t="inlineStr">
        <is>
          <t>Not started</t>
        </is>
      </c>
      <c r="U521" s="12" t="inlineStr">
        <is>
          <t>AI-generated idea: confirm real demand before writing a page for it</t>
        </is>
      </c>
    </row>
    <row r="522">
      <c r="A522" s="11" t="n">
        <v>521</v>
      </c>
      <c r="B522" s="12" t="inlineStr">
        <is>
          <t>cursor usage tracking</t>
        </is>
      </c>
      <c r="C522" s="11" t="inlineStr">
        <is>
          <t>SEO</t>
        </is>
      </c>
      <c r="D522" s="12" t="inlineStr">
        <is>
          <t>ChatGPT: spend search phrases</t>
        </is>
      </c>
      <c r="E522" s="12" t="inlineStr">
        <is>
          <t>Tool: Cursor</t>
        </is>
      </c>
      <c r="F522" s="13" t="n"/>
      <c r="G522" s="13" t="n"/>
      <c r="H522" s="14" t="n"/>
      <c r="I522" s="12" t="inlineStr">
        <is>
          <t>Commercial</t>
        </is>
      </c>
      <c r="J522" s="15" t="n">
        <v>3</v>
      </c>
      <c r="K522" s="16">
        <f>IF(I522="","",IF(I522="Transactional",3,IF(I522="Commercial",2,1)))</f>
        <v/>
      </c>
      <c r="L522" s="16">
        <f>IF(G522="","",IF(G522&lt;=20,3,IF(G522&lt;=50,2,1)))</f>
        <v/>
      </c>
      <c r="M522" s="16">
        <f>IF(OR(J522="",K522="",L522=""),"",J522+K522+L522)</f>
        <v/>
      </c>
      <c r="N522" s="11" t="inlineStr">
        <is>
          <t>Secondary</t>
        </is>
      </c>
      <c r="O522" s="12" t="inlineStr">
        <is>
          <t>/integrations/cursor</t>
        </is>
      </c>
      <c r="P522" s="12" t="inlineStr">
        <is>
          <t>Integration</t>
        </is>
      </c>
      <c r="Q522" s="14" t="n"/>
      <c r="R522" s="14" t="n"/>
      <c r="S522" s="14" t="n"/>
      <c r="T522" s="12" t="inlineStr">
        <is>
          <t>Not started</t>
        </is>
      </c>
      <c r="U522" s="12" t="inlineStr">
        <is>
          <t>AI-generated idea: confirm real demand before writing a page for it</t>
        </is>
      </c>
    </row>
    <row r="523">
      <c r="A523" s="11" t="n">
        <v>522</v>
      </c>
      <c r="B523" s="12" t="inlineStr">
        <is>
          <t>cursor ai cost tracking</t>
        </is>
      </c>
      <c r="C523" s="11" t="inlineStr">
        <is>
          <t>SEO</t>
        </is>
      </c>
      <c r="D523" s="12" t="inlineStr">
        <is>
          <t>ChatGPT: spend search phrases</t>
        </is>
      </c>
      <c r="E523" s="12" t="inlineStr">
        <is>
          <t>Tool: Cursor</t>
        </is>
      </c>
      <c r="F523" s="13" t="n"/>
      <c r="G523" s="13" t="n"/>
      <c r="H523" s="14" t="n"/>
      <c r="I523" s="12" t="inlineStr">
        <is>
          <t>Commercial</t>
        </is>
      </c>
      <c r="J523" s="15" t="n">
        <v>3</v>
      </c>
      <c r="K523" s="16">
        <f>IF(I523="","",IF(I523="Transactional",3,IF(I523="Commercial",2,1)))</f>
        <v/>
      </c>
      <c r="L523" s="16">
        <f>IF(G523="","",IF(G523&lt;=20,3,IF(G523&lt;=50,2,1)))</f>
        <v/>
      </c>
      <c r="M523" s="16">
        <f>IF(OR(J523="",K523="",L523=""),"",J523+K523+L523)</f>
        <v/>
      </c>
      <c r="N523" s="11" t="inlineStr">
        <is>
          <t>Secondary</t>
        </is>
      </c>
      <c r="O523" s="12" t="inlineStr">
        <is>
          <t>/integrations/cursor</t>
        </is>
      </c>
      <c r="P523" s="12" t="inlineStr">
        <is>
          <t>Integration</t>
        </is>
      </c>
      <c r="Q523" s="14" t="n"/>
      <c r="R523" s="14" t="n"/>
      <c r="S523" s="14" t="n"/>
      <c r="T523" s="12" t="inlineStr">
        <is>
          <t>Not started</t>
        </is>
      </c>
      <c r="U523" s="12" t="inlineStr">
        <is>
          <t>AI-generated idea: confirm real demand before writing a page for it</t>
        </is>
      </c>
    </row>
    <row r="524">
      <c r="A524" s="11" t="n">
        <v>523</v>
      </c>
      <c r="B524" s="12" t="inlineStr">
        <is>
          <t>cursor team usage analytics</t>
        </is>
      </c>
      <c r="C524" s="11" t="inlineStr">
        <is>
          <t>SEO</t>
        </is>
      </c>
      <c r="D524" s="12" t="inlineStr">
        <is>
          <t>ChatGPT: spend search phrases</t>
        </is>
      </c>
      <c r="E524" s="12" t="inlineStr">
        <is>
          <t>Tool: Cursor</t>
        </is>
      </c>
      <c r="F524" s="13" t="n"/>
      <c r="G524" s="13" t="n"/>
      <c r="H524" s="14" t="n"/>
      <c r="I524" s="12" t="inlineStr">
        <is>
          <t>Commercial</t>
        </is>
      </c>
      <c r="J524" s="15" t="n">
        <v>3</v>
      </c>
      <c r="K524" s="16">
        <f>IF(I524="","",IF(I524="Transactional",3,IF(I524="Commercial",2,1)))</f>
        <v/>
      </c>
      <c r="L524" s="16">
        <f>IF(G524="","",IF(G524&lt;=20,3,IF(G524&lt;=50,2,1)))</f>
        <v/>
      </c>
      <c r="M524" s="16">
        <f>IF(OR(J524="",K524="",L524=""),"",J524+K524+L524)</f>
        <v/>
      </c>
      <c r="N524" s="11" t="inlineStr">
        <is>
          <t>Secondary</t>
        </is>
      </c>
      <c r="O524" s="12" t="inlineStr">
        <is>
          <t>/integrations/cursor</t>
        </is>
      </c>
      <c r="P524" s="12" t="inlineStr">
        <is>
          <t>Integration</t>
        </is>
      </c>
      <c r="Q524" s="14" t="n"/>
      <c r="R524" s="14" t="n"/>
      <c r="S524" s="14" t="n"/>
      <c r="T524" s="12" t="inlineStr">
        <is>
          <t>Not started</t>
        </is>
      </c>
      <c r="U524" s="12" t="inlineStr">
        <is>
          <t>AI-generated idea: confirm real demand before writing a page for it</t>
        </is>
      </c>
    </row>
    <row r="525">
      <c r="A525" s="11" t="n">
        <v>524</v>
      </c>
      <c r="B525" s="12" t="inlineStr">
        <is>
          <t>cursor subscription management</t>
        </is>
      </c>
      <c r="C525" s="11" t="inlineStr">
        <is>
          <t>SEO</t>
        </is>
      </c>
      <c r="D525" s="12" t="inlineStr">
        <is>
          <t>ChatGPT: spend search phrases</t>
        </is>
      </c>
      <c r="E525" s="12" t="inlineStr">
        <is>
          <t>Tool: Cursor</t>
        </is>
      </c>
      <c r="F525" s="13" t="n"/>
      <c r="G525" s="13" t="n"/>
      <c r="H525" s="14" t="n"/>
      <c r="I525" s="12" t="inlineStr">
        <is>
          <t>Commercial</t>
        </is>
      </c>
      <c r="J525" s="15" t="n">
        <v>2</v>
      </c>
      <c r="K525" s="16">
        <f>IF(I525="","",IF(I525="Transactional",3,IF(I525="Commercial",2,1)))</f>
        <v/>
      </c>
      <c r="L525" s="16">
        <f>IF(G525="","",IF(G525&lt;=20,3,IF(G525&lt;=50,2,1)))</f>
        <v/>
      </c>
      <c r="M525" s="16">
        <f>IF(OR(J525="",K525="",L525=""),"",J525+K525+L525)</f>
        <v/>
      </c>
      <c r="N525" s="11" t="inlineStr">
        <is>
          <t>Secondary</t>
        </is>
      </c>
      <c r="O525" s="12" t="inlineStr">
        <is>
          <t>/integrations/cursor</t>
        </is>
      </c>
      <c r="P525" s="12" t="inlineStr">
        <is>
          <t>Integration</t>
        </is>
      </c>
      <c r="Q525" s="14" t="n"/>
      <c r="R525" s="14" t="n"/>
      <c r="S525" s="14" t="n"/>
      <c r="T525" s="12" t="inlineStr">
        <is>
          <t>Not started</t>
        </is>
      </c>
      <c r="U525" s="12" t="inlineStr">
        <is>
          <t>AI-generated idea: confirm real demand before writing a page for it</t>
        </is>
      </c>
    </row>
    <row r="526">
      <c r="A526" s="11" t="n">
        <v>525</v>
      </c>
      <c r="B526" s="12" t="inlineStr">
        <is>
          <t>github copilot usage metrics</t>
        </is>
      </c>
      <c r="C526" s="11" t="inlineStr">
        <is>
          <t>SEO</t>
        </is>
      </c>
      <c r="D526" s="12" t="inlineStr">
        <is>
          <t>ChatGPT: spend search phrases</t>
        </is>
      </c>
      <c r="E526" s="12" t="inlineStr">
        <is>
          <t>Tool: GitHub Copilot</t>
        </is>
      </c>
      <c r="F526" s="13" t="n"/>
      <c r="G526" s="13" t="n"/>
      <c r="H526" s="14" t="n"/>
      <c r="I526" s="12" t="inlineStr">
        <is>
          <t>Commercial</t>
        </is>
      </c>
      <c r="J526" s="15" t="n">
        <v>3</v>
      </c>
      <c r="K526" s="16">
        <f>IF(I526="","",IF(I526="Transactional",3,IF(I526="Commercial",2,1)))</f>
        <v/>
      </c>
      <c r="L526" s="16">
        <f>IF(G526="","",IF(G526&lt;=20,3,IF(G526&lt;=50,2,1)))</f>
        <v/>
      </c>
      <c r="M526" s="16">
        <f>IF(OR(J526="",K526="",L526=""),"",J526+K526+L526)</f>
        <v/>
      </c>
      <c r="N526" s="11" t="inlineStr">
        <is>
          <t>Secondary</t>
        </is>
      </c>
      <c r="O526" s="12" t="inlineStr">
        <is>
          <t>/integrations/github-copilot</t>
        </is>
      </c>
      <c r="P526" s="12" t="inlineStr">
        <is>
          <t>Integration</t>
        </is>
      </c>
      <c r="Q526" s="14" t="n"/>
      <c r="R526" s="14" t="n"/>
      <c r="S526" s="14" t="n"/>
      <c r="T526" s="12" t="inlineStr">
        <is>
          <t>Not started</t>
        </is>
      </c>
      <c r="U526" s="12" t="inlineStr">
        <is>
          <t>AI-generated idea: confirm real demand before writing a page for it</t>
        </is>
      </c>
    </row>
    <row r="527">
      <c r="A527" s="11" t="n">
        <v>526</v>
      </c>
      <c r="B527" s="12" t="inlineStr">
        <is>
          <t>github copilot cost tracking</t>
        </is>
      </c>
      <c r="C527" s="11" t="inlineStr">
        <is>
          <t>SEO</t>
        </is>
      </c>
      <c r="D527" s="12" t="inlineStr">
        <is>
          <t>ChatGPT: spend search phrases</t>
        </is>
      </c>
      <c r="E527" s="12" t="inlineStr">
        <is>
          <t>Tool: GitHub Copilot</t>
        </is>
      </c>
      <c r="F527" s="13" t="n"/>
      <c r="G527" s="13" t="n"/>
      <c r="H527" s="14" t="n"/>
      <c r="I527" s="12" t="inlineStr">
        <is>
          <t>Commercial</t>
        </is>
      </c>
      <c r="J527" s="15" t="n">
        <v>3</v>
      </c>
      <c r="K527" s="16">
        <f>IF(I527="","",IF(I527="Transactional",3,IF(I527="Commercial",2,1)))</f>
        <v/>
      </c>
      <c r="L527" s="16">
        <f>IF(G527="","",IF(G527&lt;=20,3,IF(G527&lt;=50,2,1)))</f>
        <v/>
      </c>
      <c r="M527" s="16">
        <f>IF(OR(J527="",K527="",L527=""),"",J527+K527+L527)</f>
        <v/>
      </c>
      <c r="N527" s="11" t="inlineStr">
        <is>
          <t>Secondary</t>
        </is>
      </c>
      <c r="O527" s="12" t="inlineStr">
        <is>
          <t>/integrations/github-copilot</t>
        </is>
      </c>
      <c r="P527" s="12" t="inlineStr">
        <is>
          <t>Integration</t>
        </is>
      </c>
      <c r="Q527" s="14" t="n"/>
      <c r="R527" s="14" t="n"/>
      <c r="S527" s="14" t="n"/>
      <c r="T527" s="12" t="inlineStr">
        <is>
          <t>Not started</t>
        </is>
      </c>
      <c r="U527" s="12" t="inlineStr">
        <is>
          <t>AI-generated idea: confirm real demand before writing a page for it</t>
        </is>
      </c>
    </row>
    <row r="528">
      <c r="A528" s="11" t="n">
        <v>527</v>
      </c>
      <c r="B528" s="12" t="inlineStr">
        <is>
          <t>github copilot usage dashboard</t>
        </is>
      </c>
      <c r="C528" s="11" t="inlineStr">
        <is>
          <t>SEO</t>
        </is>
      </c>
      <c r="D528" s="12" t="inlineStr">
        <is>
          <t>ChatGPT: spend search phrases</t>
        </is>
      </c>
      <c r="E528" s="12" t="inlineStr">
        <is>
          <t>Tool: GitHub Copilot</t>
        </is>
      </c>
      <c r="F528" s="13" t="n"/>
      <c r="G528" s="13" t="n"/>
      <c r="H528" s="14" t="n"/>
      <c r="I528" s="12" t="inlineStr">
        <is>
          <t>Commercial</t>
        </is>
      </c>
      <c r="J528" s="15" t="n">
        <v>3</v>
      </c>
      <c r="K528" s="16">
        <f>IF(I528="","",IF(I528="Transactional",3,IF(I528="Commercial",2,1)))</f>
        <v/>
      </c>
      <c r="L528" s="16">
        <f>IF(G528="","",IF(G528&lt;=20,3,IF(G528&lt;=50,2,1)))</f>
        <v/>
      </c>
      <c r="M528" s="16">
        <f>IF(OR(J528="",K528="",L528=""),"",J528+K528+L528)</f>
        <v/>
      </c>
      <c r="N528" s="11" t="inlineStr">
        <is>
          <t>Secondary</t>
        </is>
      </c>
      <c r="O528" s="12" t="inlineStr">
        <is>
          <t>/integrations/github-copilot</t>
        </is>
      </c>
      <c r="P528" s="12" t="inlineStr">
        <is>
          <t>Integration</t>
        </is>
      </c>
      <c r="Q528" s="14" t="n"/>
      <c r="R528" s="14" t="n"/>
      <c r="S528" s="14" t="n"/>
      <c r="T528" s="12" t="inlineStr">
        <is>
          <t>Not started</t>
        </is>
      </c>
      <c r="U528" s="12" t="inlineStr">
        <is>
          <t>AI-generated idea: confirm real demand before writing a page for it</t>
        </is>
      </c>
    </row>
    <row r="529">
      <c r="A529" s="11" t="n">
        <v>528</v>
      </c>
      <c r="B529" s="12" t="inlineStr">
        <is>
          <t>github copilot cost per developer</t>
        </is>
      </c>
      <c r="C529" s="11" t="inlineStr">
        <is>
          <t>SEO</t>
        </is>
      </c>
      <c r="D529" s="12" t="inlineStr">
        <is>
          <t>ChatGPT: spend search phrases</t>
        </is>
      </c>
      <c r="E529" s="12" t="inlineStr">
        <is>
          <t>Tool: GitHub Copilot</t>
        </is>
      </c>
      <c r="F529" s="13" t="n"/>
      <c r="G529" s="13" t="n"/>
      <c r="H529" s="14" t="n"/>
      <c r="I529" s="12" t="inlineStr">
        <is>
          <t>Commercial</t>
        </is>
      </c>
      <c r="J529" s="15" t="n">
        <v>3</v>
      </c>
      <c r="K529" s="16">
        <f>IF(I529="","",IF(I529="Transactional",3,IF(I529="Commercial",2,1)))</f>
        <v/>
      </c>
      <c r="L529" s="16">
        <f>IF(G529="","",IF(G529&lt;=20,3,IF(G529&lt;=50,2,1)))</f>
        <v/>
      </c>
      <c r="M529" s="16">
        <f>IF(OR(J529="",K529="",L529=""),"",J529+K529+L529)</f>
        <v/>
      </c>
      <c r="N529" s="11" t="inlineStr">
        <is>
          <t>Secondary</t>
        </is>
      </c>
      <c r="O529" s="12" t="inlineStr">
        <is>
          <t>/integrations/github-copilot</t>
        </is>
      </c>
      <c r="P529" s="12" t="inlineStr">
        <is>
          <t>Integration</t>
        </is>
      </c>
      <c r="Q529" s="14" t="n"/>
      <c r="R529" s="14" t="n"/>
      <c r="S529" s="14" t="n"/>
      <c r="T529" s="12" t="inlineStr">
        <is>
          <t>Not started</t>
        </is>
      </c>
      <c r="U529" s="12" t="inlineStr">
        <is>
          <t>AI-generated idea: confirm real demand before writing a page for it</t>
        </is>
      </c>
    </row>
    <row r="530">
      <c r="A530" s="11" t="n">
        <v>529</v>
      </c>
      <c r="B530" s="12" t="inlineStr">
        <is>
          <t>github copilot license utilization</t>
        </is>
      </c>
      <c r="C530" s="11" t="inlineStr">
        <is>
          <t>SEO</t>
        </is>
      </c>
      <c r="D530" s="12" t="inlineStr">
        <is>
          <t>ChatGPT: spend search phrases</t>
        </is>
      </c>
      <c r="E530" s="12" t="inlineStr">
        <is>
          <t>Tool: GitHub Copilot</t>
        </is>
      </c>
      <c r="F530" s="13" t="n"/>
      <c r="G530" s="13" t="n"/>
      <c r="H530" s="14" t="n"/>
      <c r="I530" s="12" t="inlineStr">
        <is>
          <t>Commercial</t>
        </is>
      </c>
      <c r="J530" s="15" t="n">
        <v>3</v>
      </c>
      <c r="K530" s="16">
        <f>IF(I530="","",IF(I530="Transactional",3,IF(I530="Commercial",2,1)))</f>
        <v/>
      </c>
      <c r="L530" s="16">
        <f>IF(G530="","",IF(G530&lt;=20,3,IF(G530&lt;=50,2,1)))</f>
        <v/>
      </c>
      <c r="M530" s="16">
        <f>IF(OR(J530="",K530="",L530=""),"",J530+K530+L530)</f>
        <v/>
      </c>
      <c r="N530" s="11" t="inlineStr">
        <is>
          <t>Secondary</t>
        </is>
      </c>
      <c r="O530" s="12" t="inlineStr">
        <is>
          <t>/integrations/github-copilot</t>
        </is>
      </c>
      <c r="P530" s="12" t="inlineStr">
        <is>
          <t>Integration</t>
        </is>
      </c>
      <c r="Q530" s="14" t="n"/>
      <c r="R530" s="14" t="n"/>
      <c r="S530" s="14" t="n"/>
      <c r="T530" s="12" t="inlineStr">
        <is>
          <t>Not started</t>
        </is>
      </c>
      <c r="U530" s="12" t="inlineStr">
        <is>
          <t>AI-generated idea: confirm real demand before writing a page for it</t>
        </is>
      </c>
    </row>
    <row r="531">
      <c r="A531" s="11" t="n">
        <v>530</v>
      </c>
      <c r="B531" s="12" t="inlineStr">
        <is>
          <t>github copilot enterprise usage reports</t>
        </is>
      </c>
      <c r="C531" s="11" t="inlineStr">
        <is>
          <t>SEO</t>
        </is>
      </c>
      <c r="D531" s="12" t="inlineStr">
        <is>
          <t>ChatGPT: spend search phrases</t>
        </is>
      </c>
      <c r="E531" s="12" t="inlineStr">
        <is>
          <t>Tool: GitHub Copilot</t>
        </is>
      </c>
      <c r="F531" s="13" t="n"/>
      <c r="G531" s="13" t="n"/>
      <c r="H531" s="14" t="n"/>
      <c r="I531" s="12" t="inlineStr">
        <is>
          <t>Commercial</t>
        </is>
      </c>
      <c r="J531" s="15" t="n">
        <v>3</v>
      </c>
      <c r="K531" s="16">
        <f>IF(I531="","",IF(I531="Transactional",3,IF(I531="Commercial",2,1)))</f>
        <v/>
      </c>
      <c r="L531" s="16">
        <f>IF(G531="","",IF(G531&lt;=20,3,IF(G531&lt;=50,2,1)))</f>
        <v/>
      </c>
      <c r="M531" s="16">
        <f>IF(OR(J531="",K531="",L531=""),"",J531+K531+L531)</f>
        <v/>
      </c>
      <c r="N531" s="11" t="inlineStr">
        <is>
          <t>Secondary</t>
        </is>
      </c>
      <c r="O531" s="12" t="inlineStr">
        <is>
          <t>/integrations/github-copilot</t>
        </is>
      </c>
      <c r="P531" s="12" t="inlineStr">
        <is>
          <t>Integration</t>
        </is>
      </c>
      <c r="Q531" s="14" t="n"/>
      <c r="R531" s="14" t="n"/>
      <c r="S531" s="14" t="n"/>
      <c r="T531" s="12" t="inlineStr">
        <is>
          <t>Not started</t>
        </is>
      </c>
      <c r="U531" s="12" t="inlineStr">
        <is>
          <t>AI-generated idea: confirm real demand before writing a page for it</t>
        </is>
      </c>
    </row>
    <row r="532">
      <c r="A532" s="11" t="n">
        <v>531</v>
      </c>
      <c r="B532" s="12" t="inlineStr">
        <is>
          <t>github copilot spending management</t>
        </is>
      </c>
      <c r="C532" s="11" t="inlineStr">
        <is>
          <t>SEO</t>
        </is>
      </c>
      <c r="D532" s="12" t="inlineStr">
        <is>
          <t>ChatGPT: spend search phrases</t>
        </is>
      </c>
      <c r="E532" s="12" t="inlineStr">
        <is>
          <t>Tool: GitHub Copilot</t>
        </is>
      </c>
      <c r="F532" s="13" t="n"/>
      <c r="G532" s="13" t="n"/>
      <c r="H532" s="14" t="n"/>
      <c r="I532" s="12" t="inlineStr">
        <is>
          <t>Commercial</t>
        </is>
      </c>
      <c r="J532" s="15" t="n">
        <v>2</v>
      </c>
      <c r="K532" s="16">
        <f>IF(I532="","",IF(I532="Transactional",3,IF(I532="Commercial",2,1)))</f>
        <v/>
      </c>
      <c r="L532" s="16">
        <f>IF(G532="","",IF(G532&lt;=20,3,IF(G532&lt;=50,2,1)))</f>
        <v/>
      </c>
      <c r="M532" s="16">
        <f>IF(OR(J532="",K532="",L532=""),"",J532+K532+L532)</f>
        <v/>
      </c>
      <c r="N532" s="11" t="inlineStr">
        <is>
          <t>Secondary</t>
        </is>
      </c>
      <c r="O532" s="12" t="inlineStr">
        <is>
          <t>/integrations/github-copilot</t>
        </is>
      </c>
      <c r="P532" s="12" t="inlineStr">
        <is>
          <t>Integration</t>
        </is>
      </c>
      <c r="Q532" s="14" t="n"/>
      <c r="R532" s="14" t="n"/>
      <c r="S532" s="14" t="n"/>
      <c r="T532" s="12" t="inlineStr">
        <is>
          <t>Not started</t>
        </is>
      </c>
      <c r="U532" s="12" t="inlineStr">
        <is>
          <t>AI-generated idea: confirm real demand before writing a page for it</t>
        </is>
      </c>
    </row>
    <row r="533">
      <c r="A533" s="11" t="n">
        <v>532</v>
      </c>
      <c r="B533" s="12" t="inlineStr">
        <is>
          <t>How much is my engineering team spending on AI?</t>
        </is>
      </c>
      <c r="C533" s="17" t="inlineStr">
        <is>
          <t>AEO</t>
        </is>
      </c>
      <c r="D533" s="12" t="inlineStr">
        <is>
          <t>ChatGPT: spend search phrases</t>
        </is>
      </c>
      <c r="E533" s="12" t="inlineStr">
        <is>
          <t>Cost</t>
        </is>
      </c>
      <c r="F533" s="13" t="n"/>
      <c r="G533" s="13" t="n"/>
      <c r="H533" s="14" t="n"/>
      <c r="I533" s="12" t="inlineStr">
        <is>
          <t>Commercial</t>
        </is>
      </c>
      <c r="J533" s="15" t="n">
        <v>3</v>
      </c>
      <c r="K533" s="16">
        <f>IF(I533="","",IF(I533="Transactional",3,IF(I533="Commercial",2,1)))</f>
        <v/>
      </c>
      <c r="L533" s="16">
        <f>IF(G533="","",IF(G533&lt;=20,3,IF(G533&lt;=50,2,1)))</f>
        <v/>
      </c>
      <c r="M533" s="16">
        <f>IF(OR(J533="",K533="",L533=""),"",J533+K533+L533)</f>
        <v/>
      </c>
      <c r="N533" s="11" t="inlineStr">
        <is>
          <t>FAQ</t>
        </is>
      </c>
      <c r="O533" s="12" t="inlineStr">
        <is>
          <t>/ai-cost-tracking</t>
        </is>
      </c>
      <c r="P533" s="12" t="inlineStr">
        <is>
          <t>Interactive guide</t>
        </is>
      </c>
      <c r="Q533" s="14" t="n"/>
      <c r="R533" s="14" t="n"/>
      <c r="S533" s="14" t="n"/>
      <c r="T533" s="12" t="inlineStr">
        <is>
          <t>Not started</t>
        </is>
      </c>
      <c r="U533" s="12" t="inlineStr">
        <is>
          <t>AI-generated idea: confirm real demand before writing a page for it</t>
        </is>
      </c>
    </row>
    <row r="534">
      <c r="A534" s="11" t="n">
        <v>533</v>
      </c>
      <c r="B534" s="12" t="inlineStr">
        <is>
          <t>how to track ai coding tool expenses</t>
        </is>
      </c>
      <c r="C534" s="11" t="inlineStr">
        <is>
          <t>SEO</t>
        </is>
      </c>
      <c r="D534" s="12" t="inlineStr">
        <is>
          <t>ChatGPT: spend search phrases</t>
        </is>
      </c>
      <c r="E534" s="12" t="inlineStr">
        <is>
          <t>Cost</t>
        </is>
      </c>
      <c r="F534" s="13" t="n"/>
      <c r="G534" s="13" t="n"/>
      <c r="H534" s="14" t="n"/>
      <c r="I534" s="12" t="inlineStr">
        <is>
          <t>Informational</t>
        </is>
      </c>
      <c r="J534" s="15" t="n">
        <v>3</v>
      </c>
      <c r="K534" s="16">
        <f>IF(I534="","",IF(I534="Transactional",3,IF(I534="Commercial",2,1)))</f>
        <v/>
      </c>
      <c r="L534" s="16">
        <f>IF(G534="","",IF(G534&lt;=20,3,IF(G534&lt;=50,2,1)))</f>
        <v/>
      </c>
      <c r="M534" s="16">
        <f>IF(OR(J534="",K534="",L534=""),"",J534+K534+L534)</f>
        <v/>
      </c>
      <c r="N534" s="11" t="inlineStr">
        <is>
          <t>Secondary</t>
        </is>
      </c>
      <c r="O534" s="12" t="inlineStr">
        <is>
          <t>/ai-cost-tracking</t>
        </is>
      </c>
      <c r="P534" s="12" t="inlineStr">
        <is>
          <t>Interactive guide</t>
        </is>
      </c>
      <c r="Q534" s="14" t="n"/>
      <c r="R534" s="14" t="n"/>
      <c r="S534" s="14" t="n"/>
      <c r="T534" s="12" t="inlineStr">
        <is>
          <t>Not started</t>
        </is>
      </c>
      <c r="U534" s="12" t="inlineStr">
        <is>
          <t>AI-generated idea: confirm real demand before writing a page for it</t>
        </is>
      </c>
    </row>
    <row r="535">
      <c r="A535" s="11" t="n">
        <v>534</v>
      </c>
      <c r="B535" s="12" t="inlineStr">
        <is>
          <t>how to calculate ai coding costs per developer</t>
        </is>
      </c>
      <c r="C535" s="11" t="inlineStr">
        <is>
          <t>SEO</t>
        </is>
      </c>
      <c r="D535" s="12" t="inlineStr">
        <is>
          <t>ChatGPT: spend search phrases</t>
        </is>
      </c>
      <c r="E535" s="12" t="inlineStr">
        <is>
          <t>Cost</t>
        </is>
      </c>
      <c r="F535" s="13" t="n"/>
      <c r="G535" s="13" t="n"/>
      <c r="H535" s="14" t="n"/>
      <c r="I535" s="12" t="inlineStr">
        <is>
          <t>Informational</t>
        </is>
      </c>
      <c r="J535" s="15" t="n">
        <v>3</v>
      </c>
      <c r="K535" s="16">
        <f>IF(I535="","",IF(I535="Transactional",3,IF(I535="Commercial",2,1)))</f>
        <v/>
      </c>
      <c r="L535" s="16">
        <f>IF(G535="","",IF(G535&lt;=20,3,IF(G535&lt;=50,2,1)))</f>
        <v/>
      </c>
      <c r="M535" s="16">
        <f>IF(OR(J535="",K535="",L535=""),"",J535+K535+L535)</f>
        <v/>
      </c>
      <c r="N535" s="11" t="inlineStr">
        <is>
          <t>Secondary</t>
        </is>
      </c>
      <c r="O535" s="12" t="inlineStr">
        <is>
          <t>/ai-cost-tracking</t>
        </is>
      </c>
      <c r="P535" s="12" t="inlineStr">
        <is>
          <t>Interactive guide</t>
        </is>
      </c>
      <c r="Q535" s="14" t="n"/>
      <c r="R535" s="14" t="n"/>
      <c r="S535" s="14" t="n"/>
      <c r="T535" s="12" t="inlineStr">
        <is>
          <t>Not started</t>
        </is>
      </c>
      <c r="U535" s="12" t="inlineStr">
        <is>
          <t>AI-generated idea: confirm real demand before writing a page for it</t>
        </is>
      </c>
    </row>
    <row r="536">
      <c r="A536" s="11" t="n">
        <v>535</v>
      </c>
      <c r="B536" s="12" t="inlineStr">
        <is>
          <t>how to monitor ai coding assistant usage</t>
        </is>
      </c>
      <c r="C536" s="11" t="inlineStr">
        <is>
          <t>SEO</t>
        </is>
      </c>
      <c r="D536" s="12" t="inlineStr">
        <is>
          <t>ChatGPT: spend search phrases</t>
        </is>
      </c>
      <c r="E536" s="12" t="inlineStr">
        <is>
          <t>Category</t>
        </is>
      </c>
      <c r="F536" s="13" t="n"/>
      <c r="G536" s="13" t="n"/>
      <c r="H536" s="14" t="n"/>
      <c r="I536" s="12" t="inlineStr">
        <is>
          <t>Informational</t>
        </is>
      </c>
      <c r="J536" s="15" t="n">
        <v>3</v>
      </c>
      <c r="K536" s="16">
        <f>IF(I536="","",IF(I536="Transactional",3,IF(I536="Commercial",2,1)))</f>
        <v/>
      </c>
      <c r="L536" s="16">
        <f>IF(G536="","",IF(G536&lt;=20,3,IF(G536&lt;=50,2,1)))</f>
        <v/>
      </c>
      <c r="M536" s="16">
        <f>IF(OR(J536="",K536="",L536=""),"",J536+K536+L536)</f>
        <v/>
      </c>
      <c r="N536" s="11" t="inlineStr">
        <is>
          <t>Secondary</t>
        </is>
      </c>
      <c r="O536" s="12" t="inlineStr">
        <is>
          <t>/ai-coding-analytics</t>
        </is>
      </c>
      <c r="P536" s="12" t="inlineStr">
        <is>
          <t>Solution</t>
        </is>
      </c>
      <c r="Q536" s="14" t="n"/>
      <c r="R536" s="14" t="n"/>
      <c r="S536" s="14" t="n"/>
      <c r="T536" s="12" t="inlineStr">
        <is>
          <t>Not started</t>
        </is>
      </c>
      <c r="U536" s="12" t="inlineStr">
        <is>
          <t>AI-generated idea: confirm real demand before writing a page for it</t>
        </is>
      </c>
    </row>
    <row r="537">
      <c r="A537" s="11" t="n">
        <v>536</v>
      </c>
      <c r="B537" s="12" t="inlineStr">
        <is>
          <t>how to compare ai coding tool usage across teams</t>
        </is>
      </c>
      <c r="C537" s="11" t="inlineStr">
        <is>
          <t>SEO</t>
        </is>
      </c>
      <c r="D537" s="12" t="inlineStr">
        <is>
          <t>ChatGPT: spend search phrases</t>
        </is>
      </c>
      <c r="E537" s="12" t="inlineStr">
        <is>
          <t>Category</t>
        </is>
      </c>
      <c r="F537" s="13" t="n"/>
      <c r="G537" s="13" t="n"/>
      <c r="H537" s="14" t="n"/>
      <c r="I537" s="12" t="inlineStr">
        <is>
          <t>Informational</t>
        </is>
      </c>
      <c r="J537" s="15" t="n">
        <v>3</v>
      </c>
      <c r="K537" s="16">
        <f>IF(I537="","",IF(I537="Transactional",3,IF(I537="Commercial",2,1)))</f>
        <v/>
      </c>
      <c r="L537" s="16">
        <f>IF(G537="","",IF(G537&lt;=20,3,IF(G537&lt;=50,2,1)))</f>
        <v/>
      </c>
      <c r="M537" s="16">
        <f>IF(OR(J537="",K537="",L537=""),"",J537+K537+L537)</f>
        <v/>
      </c>
      <c r="N537" s="11" t="inlineStr">
        <is>
          <t>Secondary</t>
        </is>
      </c>
      <c r="O537" s="12" t="inlineStr">
        <is>
          <t>/ai-coding-analytics</t>
        </is>
      </c>
      <c r="P537" s="12" t="inlineStr">
        <is>
          <t>Solution</t>
        </is>
      </c>
      <c r="Q537" s="14" t="n"/>
      <c r="R537" s="14" t="n"/>
      <c r="S537" s="14" t="n"/>
      <c r="T537" s="12" t="inlineStr">
        <is>
          <t>Not started</t>
        </is>
      </c>
      <c r="U537" s="12" t="inlineStr">
        <is>
          <t>AI-generated idea: confirm real demand before writing a page for it</t>
        </is>
      </c>
    </row>
    <row r="538">
      <c r="A538" s="11" t="n">
        <v>537</v>
      </c>
      <c r="B538" s="12" t="inlineStr">
        <is>
          <t>how to track claude code usage across a team</t>
        </is>
      </c>
      <c r="C538" s="11" t="inlineStr">
        <is>
          <t>SEO</t>
        </is>
      </c>
      <c r="D538" s="12" t="inlineStr">
        <is>
          <t>ChatGPT: spend search phrases</t>
        </is>
      </c>
      <c r="E538" s="12" t="inlineStr">
        <is>
          <t>Tool: Claude Code</t>
        </is>
      </c>
      <c r="F538" s="13" t="n"/>
      <c r="G538" s="13" t="n"/>
      <c r="H538" s="14" t="n"/>
      <c r="I538" s="12" t="inlineStr">
        <is>
          <t>Informational</t>
        </is>
      </c>
      <c r="J538" s="15" t="n">
        <v>3</v>
      </c>
      <c r="K538" s="16">
        <f>IF(I538="","",IF(I538="Transactional",3,IF(I538="Commercial",2,1)))</f>
        <v/>
      </c>
      <c r="L538" s="16">
        <f>IF(G538="","",IF(G538&lt;=20,3,IF(G538&lt;=50,2,1)))</f>
        <v/>
      </c>
      <c r="M538" s="16">
        <f>IF(OR(J538="",K538="",L538=""),"",J538+K538+L538)</f>
        <v/>
      </c>
      <c r="N538" s="11" t="inlineStr">
        <is>
          <t>Secondary</t>
        </is>
      </c>
      <c r="O538" s="12" t="inlineStr">
        <is>
          <t>/integrations/claude-code</t>
        </is>
      </c>
      <c r="P538" s="12" t="inlineStr">
        <is>
          <t>Integration</t>
        </is>
      </c>
      <c r="Q538" s="14" t="n"/>
      <c r="R538" s="14" t="n"/>
      <c r="S538" s="14" t="n"/>
      <c r="T538" s="12" t="inlineStr">
        <is>
          <t>Not started</t>
        </is>
      </c>
      <c r="U538" s="12" t="inlineStr">
        <is>
          <t>AI-generated idea: confirm real demand before writing a page for it</t>
        </is>
      </c>
    </row>
    <row r="539">
      <c r="A539" s="11" t="n">
        <v>538</v>
      </c>
      <c r="B539" s="12" t="inlineStr">
        <is>
          <t>how to manage ai coding subscriptions</t>
        </is>
      </c>
      <c r="C539" s="11" t="inlineStr">
        <is>
          <t>SEO</t>
        </is>
      </c>
      <c r="D539" s="12" t="inlineStr">
        <is>
          <t>ChatGPT: spend search phrases</t>
        </is>
      </c>
      <c r="E539" s="12" t="inlineStr">
        <is>
          <t>Shadow AI &amp; Seats</t>
        </is>
      </c>
      <c r="F539" s="13" t="n"/>
      <c r="G539" s="13" t="n"/>
      <c r="H539" s="14" t="n"/>
      <c r="I539" s="12" t="inlineStr">
        <is>
          <t>Informational</t>
        </is>
      </c>
      <c r="J539" s="15" t="n">
        <v>3</v>
      </c>
      <c r="K539" s="16">
        <f>IF(I539="","",IF(I539="Transactional",3,IF(I539="Commercial",2,1)))</f>
        <v/>
      </c>
      <c r="L539" s="16">
        <f>IF(G539="","",IF(G539&lt;=20,3,IF(G539&lt;=50,2,1)))</f>
        <v/>
      </c>
      <c r="M539" s="16">
        <f>IF(OR(J539="",K539="",L539=""),"",J539+K539+L539)</f>
        <v/>
      </c>
      <c r="N539" s="11" t="inlineStr">
        <is>
          <t>Secondary</t>
        </is>
      </c>
      <c r="O539" s="12" t="inlineStr">
        <is>
          <t>/shadow-ai</t>
        </is>
      </c>
      <c r="P539" s="12" t="inlineStr">
        <is>
          <t>Solution</t>
        </is>
      </c>
      <c r="Q539" s="14" t="n"/>
      <c r="R539" s="14" t="n"/>
      <c r="S539" s="14" t="n"/>
      <c r="T539" s="12" t="inlineStr">
        <is>
          <t>Not started</t>
        </is>
      </c>
      <c r="U539" s="12" t="inlineStr">
        <is>
          <t>AI-generated idea: confirm real demand before writing a page for it</t>
        </is>
      </c>
    </row>
    <row r="540">
      <c r="A540" s="11" t="n">
        <v>539</v>
      </c>
      <c r="B540" s="12" t="inlineStr">
        <is>
          <t>how to identify unused ai coding licenses</t>
        </is>
      </c>
      <c r="C540" s="11" t="inlineStr">
        <is>
          <t>SEO</t>
        </is>
      </c>
      <c r="D540" s="12" t="inlineStr">
        <is>
          <t>ChatGPT: spend search phrases</t>
        </is>
      </c>
      <c r="E540" s="12" t="inlineStr">
        <is>
          <t>Shadow AI &amp; Seats</t>
        </is>
      </c>
      <c r="F540" s="13" t="n"/>
      <c r="G540" s="13" t="n"/>
      <c r="H540" s="14" t="n"/>
      <c r="I540" s="12" t="inlineStr">
        <is>
          <t>Informational</t>
        </is>
      </c>
      <c r="J540" s="15" t="n">
        <v>3</v>
      </c>
      <c r="K540" s="16">
        <f>IF(I540="","",IF(I540="Transactional",3,IF(I540="Commercial",2,1)))</f>
        <v/>
      </c>
      <c r="L540" s="16">
        <f>IF(G540="","",IF(G540&lt;=20,3,IF(G540&lt;=50,2,1)))</f>
        <v/>
      </c>
      <c r="M540" s="16">
        <f>IF(OR(J540="",K540="",L540=""),"",J540+K540+L540)</f>
        <v/>
      </c>
      <c r="N540" s="11" t="inlineStr">
        <is>
          <t>Secondary</t>
        </is>
      </c>
      <c r="O540" s="12" t="inlineStr">
        <is>
          <t>/shadow-ai</t>
        </is>
      </c>
      <c r="P540" s="12" t="inlineStr">
        <is>
          <t>Solution</t>
        </is>
      </c>
      <c r="Q540" s="14" t="n"/>
      <c r="R540" s="14" t="n"/>
      <c r="S540" s="14" t="n"/>
      <c r="T540" s="12" t="inlineStr">
        <is>
          <t>Not started</t>
        </is>
      </c>
      <c r="U540" s="12" t="inlineStr">
        <is>
          <t>AI-generated idea: confirm real demand before writing a page for it</t>
        </is>
      </c>
    </row>
    <row r="541">
      <c r="A541" s="11" t="n">
        <v>540</v>
      </c>
      <c r="B541" s="12" t="inlineStr">
        <is>
          <t>how to reduce ai coding tool costs</t>
        </is>
      </c>
      <c r="C541" s="11" t="inlineStr">
        <is>
          <t>SEO</t>
        </is>
      </c>
      <c r="D541" s="12" t="inlineStr">
        <is>
          <t>ChatGPT: spend search phrases</t>
        </is>
      </c>
      <c r="E541" s="12" t="inlineStr">
        <is>
          <t>Cost</t>
        </is>
      </c>
      <c r="F541" s="13" t="n"/>
      <c r="G541" s="13" t="n"/>
      <c r="H541" s="14" t="n"/>
      <c r="I541" s="12" t="inlineStr">
        <is>
          <t>Informational</t>
        </is>
      </c>
      <c r="J541" s="15" t="n">
        <v>2</v>
      </c>
      <c r="K541" s="16">
        <f>IF(I541="","",IF(I541="Transactional",3,IF(I541="Commercial",2,1)))</f>
        <v/>
      </c>
      <c r="L541" s="16">
        <f>IF(G541="","",IF(G541&lt;=20,3,IF(G541&lt;=50,2,1)))</f>
        <v/>
      </c>
      <c r="M541" s="16">
        <f>IF(OR(J541="",K541="",L541=""),"",J541+K541+L541)</f>
        <v/>
      </c>
      <c r="N541" s="11" t="inlineStr">
        <is>
          <t>Secondary</t>
        </is>
      </c>
      <c r="O541" s="12" t="inlineStr">
        <is>
          <t>/blog/reduce-ai-coding-costs</t>
        </is>
      </c>
      <c r="P541" s="12" t="inlineStr">
        <is>
          <t>Blog</t>
        </is>
      </c>
      <c r="Q541" s="14" t="n"/>
      <c r="R541" s="14" t="n"/>
      <c r="S541" s="14" t="n"/>
      <c r="T541" s="12" t="inlineStr">
        <is>
          <t>Not started</t>
        </is>
      </c>
      <c r="U541" s="12" t="inlineStr">
        <is>
          <t>AI-generated idea: confirm real demand before writing a page for it</t>
        </is>
      </c>
    </row>
    <row r="542">
      <c r="A542" s="11" t="n">
        <v>541</v>
      </c>
      <c r="B542" s="12" t="inlineStr">
        <is>
          <t>how to measure ai coding assistant roi</t>
        </is>
      </c>
      <c r="C542" s="11" t="inlineStr">
        <is>
          <t>SEO</t>
        </is>
      </c>
      <c r="D542" s="12" t="inlineStr">
        <is>
          <t>ChatGPT: spend search phrases</t>
        </is>
      </c>
      <c r="E542" s="12" t="inlineStr">
        <is>
          <t>Cost</t>
        </is>
      </c>
      <c r="F542" s="13" t="n"/>
      <c r="G542" s="13" t="n"/>
      <c r="H542" s="14" t="n"/>
      <c r="I542" s="12" t="inlineStr">
        <is>
          <t>Informational</t>
        </is>
      </c>
      <c r="J542" s="15" t="n">
        <v>2</v>
      </c>
      <c r="K542" s="16">
        <f>IF(I542="","",IF(I542="Transactional",3,IF(I542="Commercial",2,1)))</f>
        <v/>
      </c>
      <c r="L542" s="16">
        <f>IF(G542="","",IF(G542&lt;=20,3,IF(G542&lt;=50,2,1)))</f>
        <v/>
      </c>
      <c r="M542" s="16">
        <f>IF(OR(J542="",K542="",L542=""),"",J542+K542+L542)</f>
        <v/>
      </c>
      <c r="N542" s="11" t="inlineStr">
        <is>
          <t>Secondary</t>
        </is>
      </c>
      <c r="O542" s="12" t="inlineStr">
        <is>
          <t>/blog/ai-coding-roi</t>
        </is>
      </c>
      <c r="P542" s="12" t="inlineStr">
        <is>
          <t>Interactive guide</t>
        </is>
      </c>
      <c r="Q542" s="14" t="n"/>
      <c r="R542" s="14" t="n"/>
      <c r="S542" s="14" t="n"/>
      <c r="T542" s="12" t="inlineStr">
        <is>
          <t>Not started</t>
        </is>
      </c>
      <c r="U542" s="12" t="inlineStr">
        <is>
          <t>AI-generated idea: confirm real demand before writing a page for it</t>
        </is>
      </c>
    </row>
    <row r="543">
      <c r="A543" s="11" t="n">
        <v>542</v>
      </c>
      <c r="B543" s="12" t="inlineStr">
        <is>
          <t>claude code usage running out fast</t>
        </is>
      </c>
      <c r="C543" s="11" t="inlineStr">
        <is>
          <t>SEO</t>
        </is>
      </c>
      <c r="D543" s="12" t="inlineStr">
        <is>
          <t>ChatGPT: Claude Code limit complaints</t>
        </is>
      </c>
      <c r="E543" s="12" t="inlineStr">
        <is>
          <t>Limits</t>
        </is>
      </c>
      <c r="F543" s="13" t="n"/>
      <c r="G543" s="13" t="n"/>
      <c r="H543" s="14" t="n"/>
      <c r="I543" s="12" t="inlineStr">
        <is>
          <t>Informational</t>
        </is>
      </c>
      <c r="J543" s="15" t="n">
        <v>2</v>
      </c>
      <c r="K543" s="16">
        <f>IF(I543="","",IF(I543="Transactional",3,IF(I543="Commercial",2,1)))</f>
        <v/>
      </c>
      <c r="L543" s="16">
        <f>IF(G543="","",IF(G543&lt;=20,3,IF(G543&lt;=50,2,1)))</f>
        <v/>
      </c>
      <c r="M543" s="16">
        <f>IF(OR(J543="",K543="",L543=""),"",J543+K543+L543)</f>
        <v/>
      </c>
      <c r="N543" s="11" t="inlineStr">
        <is>
          <t>Secondary</t>
        </is>
      </c>
      <c r="O543" s="12" t="inlineStr">
        <is>
          <t>/claude-code-usage-limits</t>
        </is>
      </c>
      <c r="P543" s="12" t="inlineStr">
        <is>
          <t>Interactive guide</t>
        </is>
      </c>
      <c r="Q543" s="14" t="n"/>
      <c r="R543" s="14" t="n"/>
      <c r="S543" s="14" t="n"/>
      <c r="T543" s="12" t="inlineStr">
        <is>
          <t>Not started</t>
        </is>
      </c>
      <c r="U543" s="12" t="inlineStr">
        <is>
          <t>AI-generated idea: confirm real demand before writing a page for it. Theme 1: limits run out too quickly</t>
        </is>
      </c>
    </row>
    <row r="544">
      <c r="A544" s="11" t="n">
        <v>543</v>
      </c>
      <c r="B544" s="12" t="inlineStr">
        <is>
          <t>Why does Claude Code use up my limit so fast?</t>
        </is>
      </c>
      <c r="C544" s="17" t="inlineStr">
        <is>
          <t>AEO</t>
        </is>
      </c>
      <c r="D544" s="12" t="inlineStr">
        <is>
          <t>ChatGPT: Claude Code limit complaints</t>
        </is>
      </c>
      <c r="E544" s="12" t="inlineStr">
        <is>
          <t>Limits</t>
        </is>
      </c>
      <c r="F544" s="13" t="n"/>
      <c r="G544" s="13" t="n"/>
      <c r="H544" s="14" t="n"/>
      <c r="I544" s="12" t="inlineStr">
        <is>
          <t>Informational</t>
        </is>
      </c>
      <c r="J544" s="15" t="n">
        <v>2</v>
      </c>
      <c r="K544" s="16">
        <f>IF(I544="","",IF(I544="Transactional",3,IF(I544="Commercial",2,1)))</f>
        <v/>
      </c>
      <c r="L544" s="16">
        <f>IF(G544="","",IF(G544&lt;=20,3,IF(G544&lt;=50,2,1)))</f>
        <v/>
      </c>
      <c r="M544" s="16">
        <f>IF(OR(J544="",K544="",L544=""),"",J544+K544+L544)</f>
        <v/>
      </c>
      <c r="N544" s="11" t="inlineStr">
        <is>
          <t>FAQ</t>
        </is>
      </c>
      <c r="O544" s="12" t="inlineStr">
        <is>
          <t>/claude-code-usage-limits</t>
        </is>
      </c>
      <c r="P544" s="12" t="inlineStr">
        <is>
          <t>Interactive guide</t>
        </is>
      </c>
      <c r="Q544" s="14" t="n"/>
      <c r="R544" s="14" t="n"/>
      <c r="S544" s="14" t="n"/>
      <c r="T544" s="12" t="inlineStr">
        <is>
          <t>Not started</t>
        </is>
      </c>
      <c r="U544" s="12" t="inlineStr">
        <is>
          <t>AI-generated idea: confirm real demand before writing a page for it. Theme 1</t>
        </is>
      </c>
    </row>
    <row r="545">
      <c r="A545" s="11" t="n">
        <v>544</v>
      </c>
      <c r="B545" s="12" t="inlineStr">
        <is>
          <t>claude code remaining usage</t>
        </is>
      </c>
      <c r="C545" s="11" t="inlineStr">
        <is>
          <t>SEO</t>
        </is>
      </c>
      <c r="D545" s="12" t="inlineStr">
        <is>
          <t>ChatGPT: Claude Code limit complaints</t>
        </is>
      </c>
      <c r="E545" s="12" t="inlineStr">
        <is>
          <t>Limits</t>
        </is>
      </c>
      <c r="F545" s="13" t="n"/>
      <c r="G545" s="13" t="n"/>
      <c r="H545" s="14" t="n"/>
      <c r="I545" s="12" t="inlineStr">
        <is>
          <t>Informational</t>
        </is>
      </c>
      <c r="J545" s="15" t="n">
        <v>2</v>
      </c>
      <c r="K545" s="16">
        <f>IF(I545="","",IF(I545="Transactional",3,IF(I545="Commercial",2,1)))</f>
        <v/>
      </c>
      <c r="L545" s="16">
        <f>IF(G545="","",IF(G545&lt;=20,3,IF(G545&lt;=50,2,1)))</f>
        <v/>
      </c>
      <c r="M545" s="16">
        <f>IF(OR(J545="",K545="",L545=""),"",J545+K545+L545)</f>
        <v/>
      </c>
      <c r="N545" s="11" t="inlineStr">
        <is>
          <t>Secondary</t>
        </is>
      </c>
      <c r="O545" s="12" t="inlineStr">
        <is>
          <t>/claude-code-usage-limits</t>
        </is>
      </c>
      <c r="P545" s="12" t="inlineStr">
        <is>
          <t>Interactive guide</t>
        </is>
      </c>
      <c r="Q545" s="14" t="n"/>
      <c r="R545" s="14" t="n"/>
      <c r="S545" s="14" t="n"/>
      <c r="T545" s="12" t="inlineStr">
        <is>
          <t>Not started</t>
        </is>
      </c>
      <c r="U545" s="12" t="inlineStr">
        <is>
          <t>AI-generated idea: confirm real demand before writing a page for it. Theme 2: unclear consumption</t>
        </is>
      </c>
    </row>
    <row r="546">
      <c r="A546" s="11" t="n">
        <v>545</v>
      </c>
      <c r="B546" s="12" t="inlineStr">
        <is>
          <t>claude code large codebase token usage</t>
        </is>
      </c>
      <c r="C546" s="11" t="inlineStr">
        <is>
          <t>SEO</t>
        </is>
      </c>
      <c r="D546" s="12" t="inlineStr">
        <is>
          <t>ChatGPT: Claude Code limit complaints</t>
        </is>
      </c>
      <c r="E546" s="12" t="inlineStr">
        <is>
          <t>Limits</t>
        </is>
      </c>
      <c r="F546" s="13" t="n"/>
      <c r="G546" s="13" t="n"/>
      <c r="H546" s="14" t="n"/>
      <c r="I546" s="12" t="inlineStr">
        <is>
          <t>Informational</t>
        </is>
      </c>
      <c r="J546" s="15" t="n">
        <v>2</v>
      </c>
      <c r="K546" s="16">
        <f>IF(I546="","",IF(I546="Transactional",3,IF(I546="Commercial",2,1)))</f>
        <v/>
      </c>
      <c r="L546" s="16">
        <f>IF(G546="","",IF(G546&lt;=20,3,IF(G546&lt;=50,2,1)))</f>
        <v/>
      </c>
      <c r="M546" s="16">
        <f>IF(OR(J546="",K546="",L546=""),"",J546+K546+L546)</f>
        <v/>
      </c>
      <c r="N546" s="11" t="inlineStr">
        <is>
          <t>Secondary</t>
        </is>
      </c>
      <c r="O546" s="12" t="inlineStr">
        <is>
          <t>/claude-code-usage-limits</t>
        </is>
      </c>
      <c r="P546" s="12" t="inlineStr">
        <is>
          <t>Interactive guide</t>
        </is>
      </c>
      <c r="Q546" s="14" t="n"/>
      <c r="R546" s="14" t="n"/>
      <c r="S546" s="14" t="n"/>
      <c r="T546" s="12" t="inlineStr">
        <is>
          <t>Not started</t>
        </is>
      </c>
      <c r="U546" s="12" t="inlineStr">
        <is>
          <t>AI-generated idea: confirm real demand before writing a page for it. Theme 4: workload size</t>
        </is>
      </c>
    </row>
    <row r="547">
      <c r="A547" s="11" t="n">
        <v>546</v>
      </c>
      <c r="B547" s="12" t="inlineStr">
        <is>
          <t>Why do long conversations use more Claude Code usage?</t>
        </is>
      </c>
      <c r="C547" s="17" t="inlineStr">
        <is>
          <t>AEO</t>
        </is>
      </c>
      <c r="D547" s="12" t="inlineStr">
        <is>
          <t>ChatGPT: Claude Code limit complaints</t>
        </is>
      </c>
      <c r="E547" s="12" t="inlineStr">
        <is>
          <t>Limits</t>
        </is>
      </c>
      <c r="F547" s="13" t="n"/>
      <c r="G547" s="13" t="n"/>
      <c r="H547" s="14" t="n"/>
      <c r="I547" s="12" t="inlineStr">
        <is>
          <t>Informational</t>
        </is>
      </c>
      <c r="J547" s="15" t="n">
        <v>2</v>
      </c>
      <c r="K547" s="16">
        <f>IF(I547="","",IF(I547="Transactional",3,IF(I547="Commercial",2,1)))</f>
        <v/>
      </c>
      <c r="L547" s="16">
        <f>IF(G547="","",IF(G547&lt;=20,3,IF(G547&lt;=50,2,1)))</f>
        <v/>
      </c>
      <c r="M547" s="16">
        <f>IF(OR(J547="",K547="",L547=""),"",J547+K547+L547)</f>
        <v/>
      </c>
      <c r="N547" s="11" t="inlineStr">
        <is>
          <t>FAQ</t>
        </is>
      </c>
      <c r="O547" s="12" t="inlineStr">
        <is>
          <t>/claude-code-usage-limits</t>
        </is>
      </c>
      <c r="P547" s="12" t="inlineStr">
        <is>
          <t>Interactive guide</t>
        </is>
      </c>
      <c r="Q547" s="14" t="n"/>
      <c r="R547" s="14" t="n"/>
      <c r="S547" s="14" t="n"/>
      <c r="T547" s="12" t="inlineStr">
        <is>
          <t>Not started</t>
        </is>
      </c>
      <c r="U547" s="12" t="inlineStr">
        <is>
          <t>AI-generated idea: confirm real demand before writing a page for it. Theme 4</t>
        </is>
      </c>
    </row>
    <row r="548">
      <c r="A548" s="11" t="n">
        <v>547</v>
      </c>
      <c r="B548" s="12" t="inlineStr">
        <is>
          <t>claude code subscription vs api billing</t>
        </is>
      </c>
      <c r="C548" s="11" t="inlineStr">
        <is>
          <t>SEO</t>
        </is>
      </c>
      <c r="D548" s="12" t="inlineStr">
        <is>
          <t>ChatGPT: Claude Code limit complaints</t>
        </is>
      </c>
      <c r="E548" s="12" t="inlineStr">
        <is>
          <t>Limits</t>
        </is>
      </c>
      <c r="F548" s="13" t="n"/>
      <c r="G548" s="13" t="n"/>
      <c r="H548" s="14" t="n"/>
      <c r="I548" s="12" t="inlineStr">
        <is>
          <t>Informational</t>
        </is>
      </c>
      <c r="J548" s="15" t="n">
        <v>2</v>
      </c>
      <c r="K548" s="16">
        <f>IF(I548="","",IF(I548="Transactional",3,IF(I548="Commercial",2,1)))</f>
        <v/>
      </c>
      <c r="L548" s="16">
        <f>IF(G548="","",IF(G548&lt;=20,3,IF(G548&lt;=50,2,1)))</f>
        <v/>
      </c>
      <c r="M548" s="16">
        <f>IF(OR(J548="",K548="",L548=""),"",J548+K548+L548)</f>
        <v/>
      </c>
      <c r="N548" s="11" t="inlineStr">
        <is>
          <t>Secondary</t>
        </is>
      </c>
      <c r="O548" s="12" t="inlineStr">
        <is>
          <t>/claude-code-usage-limits</t>
        </is>
      </c>
      <c r="P548" s="12" t="inlineStr">
        <is>
          <t>Interactive guide</t>
        </is>
      </c>
      <c r="Q548" s="14" t="n"/>
      <c r="R548" s="14" t="n"/>
      <c r="S548" s="14" t="n"/>
      <c r="T548" s="12" t="inlineStr">
        <is>
          <t>Not started</t>
        </is>
      </c>
      <c r="U548" s="12" t="inlineStr">
        <is>
          <t>AI-generated idea: confirm real demand before writing a page for it. Theme 6: confusion between limits and billing</t>
        </is>
      </c>
    </row>
    <row r="549">
      <c r="A549" s="11" t="n">
        <v>548</v>
      </c>
      <c r="B549" s="12" t="inlineStr">
        <is>
          <t>What is the difference between Claude plan limits and API billing?</t>
        </is>
      </c>
      <c r="C549" s="17" t="inlineStr">
        <is>
          <t>AEO</t>
        </is>
      </c>
      <c r="D549" s="12" t="inlineStr">
        <is>
          <t>ChatGPT: Claude Code limit complaints</t>
        </is>
      </c>
      <c r="E549" s="12" t="inlineStr">
        <is>
          <t>Limits</t>
        </is>
      </c>
      <c r="F549" s="13" t="n"/>
      <c r="G549" s="13" t="n"/>
      <c r="H549" s="14" t="n"/>
      <c r="I549" s="12" t="inlineStr">
        <is>
          <t>Informational</t>
        </is>
      </c>
      <c r="J549" s="15" t="n">
        <v>2</v>
      </c>
      <c r="K549" s="16">
        <f>IF(I549="","",IF(I549="Transactional",3,IF(I549="Commercial",2,1)))</f>
        <v/>
      </c>
      <c r="L549" s="16">
        <f>IF(G549="","",IF(G549&lt;=20,3,IF(G549&lt;=50,2,1)))</f>
        <v/>
      </c>
      <c r="M549" s="16">
        <f>IF(OR(J549="",K549="",L549=""),"",J549+K549+L549)</f>
        <v/>
      </c>
      <c r="N549" s="11" t="inlineStr">
        <is>
          <t>FAQ</t>
        </is>
      </c>
      <c r="O549" s="12" t="inlineStr">
        <is>
          <t>/claude-code-usage-limits</t>
        </is>
      </c>
      <c r="P549" s="12" t="inlineStr">
        <is>
          <t>Interactive guide</t>
        </is>
      </c>
      <c r="Q549" s="14" t="n"/>
      <c r="R549" s="14" t="n"/>
      <c r="S549" s="14" t="n"/>
      <c r="T549" s="12" t="inlineStr">
        <is>
          <t>Not started</t>
        </is>
      </c>
      <c r="U549" s="12" t="inlineStr">
        <is>
          <t>AI-generated idea: confirm real demand before writing a page for it. Theme 6</t>
        </is>
      </c>
    </row>
    <row r="550">
      <c r="A550" s="11" t="n">
        <v>549</v>
      </c>
      <c r="B550" s="12" t="inlineStr">
        <is>
          <t>claude code api vs max plan cost</t>
        </is>
      </c>
      <c r="C550" s="11" t="inlineStr">
        <is>
          <t>SEO</t>
        </is>
      </c>
      <c r="D550" s="12" t="inlineStr">
        <is>
          <t>ChatGPT: Claude Code limit complaints</t>
        </is>
      </c>
      <c r="E550" s="12" t="inlineStr">
        <is>
          <t>Cost</t>
        </is>
      </c>
      <c r="F550" s="13" t="n"/>
      <c r="G550" s="13" t="n"/>
      <c r="H550" s="14" t="n"/>
      <c r="I550" s="12" t="inlineStr">
        <is>
          <t>Informational</t>
        </is>
      </c>
      <c r="J550" s="15" t="n">
        <v>2</v>
      </c>
      <c r="K550" s="16">
        <f>IF(I550="","",IF(I550="Transactional",3,IF(I550="Commercial",2,1)))</f>
        <v/>
      </c>
      <c r="L550" s="16">
        <f>IF(G550="","",IF(G550&lt;=20,3,IF(G550&lt;=50,2,1)))</f>
        <v/>
      </c>
      <c r="M550" s="16">
        <f>IF(OR(J550="",K550="",L550=""),"",J550+K550+L550)</f>
        <v/>
      </c>
      <c r="N550" s="11" t="inlineStr">
        <is>
          <t>Secondary</t>
        </is>
      </c>
      <c r="O550" s="12" t="inlineStr">
        <is>
          <t>/blog/reduce-ai-coding-costs</t>
        </is>
      </c>
      <c r="P550" s="12" t="inlineStr">
        <is>
          <t>Blog</t>
        </is>
      </c>
      <c r="Q550" s="14" t="n"/>
      <c r="R550" s="14" t="n"/>
      <c r="S550" s="14" t="n"/>
      <c r="T550" s="12" t="inlineStr">
        <is>
          <t>Not started</t>
        </is>
      </c>
      <c r="U550" s="12" t="inlineStr">
        <is>
          <t>AI-generated idea: confirm real demand before writing a page for it. Theme 7: expensive alternatives</t>
        </is>
      </c>
    </row>
    <row r="551">
      <c r="A551" s="11" t="n">
        <v>550</v>
      </c>
      <c r="B551" s="12" t="inlineStr">
        <is>
          <t>Should I switch to the Claude API if I keep hitting limits?</t>
        </is>
      </c>
      <c r="C551" s="17" t="inlineStr">
        <is>
          <t>AEO</t>
        </is>
      </c>
      <c r="D551" s="12" t="inlineStr">
        <is>
          <t>ChatGPT: Claude Code limit complaints</t>
        </is>
      </c>
      <c r="E551" s="12" t="inlineStr">
        <is>
          <t>Cost</t>
        </is>
      </c>
      <c r="F551" s="13" t="n"/>
      <c r="G551" s="13" t="n"/>
      <c r="H551" s="14" t="n"/>
      <c r="I551" s="12" t="inlineStr">
        <is>
          <t>Informational</t>
        </is>
      </c>
      <c r="J551" s="15" t="n">
        <v>2</v>
      </c>
      <c r="K551" s="16">
        <f>IF(I551="","",IF(I551="Transactional",3,IF(I551="Commercial",2,1)))</f>
        <v/>
      </c>
      <c r="L551" s="16">
        <f>IF(G551="","",IF(G551&lt;=20,3,IF(G551&lt;=50,2,1)))</f>
        <v/>
      </c>
      <c r="M551" s="16">
        <f>IF(OR(J551="",K551="",L551=""),"",J551+K551+L551)</f>
        <v/>
      </c>
      <c r="N551" s="11" t="inlineStr">
        <is>
          <t>FAQ</t>
        </is>
      </c>
      <c r="O551" s="12" t="inlineStr">
        <is>
          <t>/blog/reduce-ai-coding-costs</t>
        </is>
      </c>
      <c r="P551" s="12" t="inlineStr">
        <is>
          <t>Blog</t>
        </is>
      </c>
      <c r="Q551" s="14" t="n"/>
      <c r="R551" s="14" t="n"/>
      <c r="S551" s="14" t="n"/>
      <c r="T551" s="12" t="inlineStr">
        <is>
          <t>Not started</t>
        </is>
      </c>
      <c r="U551" s="12" t="inlineStr">
        <is>
          <t>AI-generated idea: confirm real demand before writing a page for it. Theme 7</t>
        </is>
      </c>
    </row>
    <row r="552">
      <c r="A552" s="11" t="n">
        <v>551</v>
      </c>
      <c r="B552" s="12" t="inlineStr">
        <is>
          <t>Which developers on my team are hitting Claude limits?</t>
        </is>
      </c>
      <c r="C552" s="17" t="inlineStr">
        <is>
          <t>AEO</t>
        </is>
      </c>
      <c r="D552" s="12" t="inlineStr">
        <is>
          <t>ChatGPT: Claude Code limit complaints</t>
        </is>
      </c>
      <c r="E552" s="12" t="inlineStr">
        <is>
          <t>Limits</t>
        </is>
      </c>
      <c r="F552" s="13" t="n"/>
      <c r="G552" s="13" t="n"/>
      <c r="H552" s="14" t="n"/>
      <c r="I552" s="12" t="inlineStr">
        <is>
          <t>Commercial</t>
        </is>
      </c>
      <c r="J552" s="15" t="n">
        <v>3</v>
      </c>
      <c r="K552" s="16">
        <f>IF(I552="","",IF(I552="Transactional",3,IF(I552="Commercial",2,1)))</f>
        <v/>
      </c>
      <c r="L552" s="16">
        <f>IF(G552="","",IF(G552&lt;=20,3,IF(G552&lt;=50,2,1)))</f>
        <v/>
      </c>
      <c r="M552" s="16">
        <f>IF(OR(J552="",K552="",L552=""),"",J552+K552+L552)</f>
        <v/>
      </c>
      <c r="N552" s="11" t="inlineStr">
        <is>
          <t>FAQ</t>
        </is>
      </c>
      <c r="O552" s="12" t="inlineStr">
        <is>
          <t>/plan-headroom</t>
        </is>
      </c>
      <c r="P552" s="12" t="inlineStr">
        <is>
          <t>Feature</t>
        </is>
      </c>
      <c r="Q552" s="14" t="n"/>
      <c r="R552" s="14" t="n"/>
      <c r="S552" s="14" t="n"/>
      <c r="T552" s="12" t="inlineStr">
        <is>
          <t>Not started</t>
        </is>
      </c>
      <c r="U552" s="12" t="inlineStr">
        <is>
          <t>AI-generated idea: confirm real demand before writing a page for it. Theme 8: team usage - core Plan headroom question</t>
        </is>
      </c>
    </row>
    <row r="553">
      <c r="A553" s="11" t="n">
        <v>552</v>
      </c>
      <c r="B553" s="12" t="inlineStr">
        <is>
          <t>Which Claude plan does my engineering team need?</t>
        </is>
      </c>
      <c r="C553" s="17" t="inlineStr">
        <is>
          <t>AEO</t>
        </is>
      </c>
      <c r="D553" s="12" t="inlineStr">
        <is>
          <t>ChatGPT: Claude Code limit complaints</t>
        </is>
      </c>
      <c r="E553" s="12" t="inlineStr">
        <is>
          <t>Limits</t>
        </is>
      </c>
      <c r="F553" s="13" t="n"/>
      <c r="G553" s="13" t="n"/>
      <c r="H553" s="14" t="n"/>
      <c r="I553" s="12" t="inlineStr">
        <is>
          <t>Commercial</t>
        </is>
      </c>
      <c r="J553" s="15" t="n">
        <v>3</v>
      </c>
      <c r="K553" s="16">
        <f>IF(I553="","",IF(I553="Transactional",3,IF(I553="Commercial",2,1)))</f>
        <v/>
      </c>
      <c r="L553" s="16">
        <f>IF(G553="","",IF(G553&lt;=20,3,IF(G553&lt;=50,2,1)))</f>
        <v/>
      </c>
      <c r="M553" s="16">
        <f>IF(OR(J553="",K553="",L553=""),"",J553+K553+L553)</f>
        <v/>
      </c>
      <c r="N553" s="11" t="inlineStr">
        <is>
          <t>FAQ</t>
        </is>
      </c>
      <c r="O553" s="12" t="inlineStr">
        <is>
          <t>/plan-headroom</t>
        </is>
      </c>
      <c r="P553" s="12" t="inlineStr">
        <is>
          <t>Feature</t>
        </is>
      </c>
      <c r="Q553" s="14" t="n"/>
      <c r="R553" s="14" t="n"/>
      <c r="S553" s="14" t="n"/>
      <c r="T553" s="12" t="inlineStr">
        <is>
          <t>Not started</t>
        </is>
      </c>
      <c r="U553" s="12" t="inlineStr">
        <is>
          <t>AI-generated idea: confirm real demand before writing a page for it. Theme 8: usage data helps right-size plans</t>
        </is>
      </c>
    </row>
    <row r="554">
      <c r="A554" s="11" t="n">
        <v>553</v>
      </c>
      <c r="B554" s="12" t="inlineStr">
        <is>
          <t>claude plan for engineering team</t>
        </is>
      </c>
      <c r="C554" s="11" t="inlineStr">
        <is>
          <t>SEO</t>
        </is>
      </c>
      <c r="D554" s="12" t="inlineStr">
        <is>
          <t>ChatGPT: Claude Code limit complaints</t>
        </is>
      </c>
      <c r="E554" s="12" t="inlineStr">
        <is>
          <t>Limits</t>
        </is>
      </c>
      <c r="F554" s="13" t="n"/>
      <c r="G554" s="13" t="n"/>
      <c r="H554" s="14" t="n"/>
      <c r="I554" s="12" t="inlineStr">
        <is>
          <t>Commercial</t>
        </is>
      </c>
      <c r="J554" s="15" t="n">
        <v>2</v>
      </c>
      <c r="K554" s="16">
        <f>IF(I554="","",IF(I554="Transactional",3,IF(I554="Commercial",2,1)))</f>
        <v/>
      </c>
      <c r="L554" s="16">
        <f>IF(G554="","",IF(G554&lt;=20,3,IF(G554&lt;=50,2,1)))</f>
        <v/>
      </c>
      <c r="M554" s="16">
        <f>IF(OR(J554="",K554="",L554=""),"",J554+K554+L554)</f>
        <v/>
      </c>
      <c r="N554" s="11" t="inlineStr">
        <is>
          <t>Secondary</t>
        </is>
      </c>
      <c r="O554" s="12" t="inlineStr">
        <is>
          <t>/plan-headroom</t>
        </is>
      </c>
      <c r="P554" s="12" t="inlineStr">
        <is>
          <t>Feature</t>
        </is>
      </c>
      <c r="Q554" s="14" t="n"/>
      <c r="R554" s="14" t="n"/>
      <c r="S554" s="14" t="n"/>
      <c r="T554" s="12" t="inlineStr">
        <is>
          <t>Not started</t>
        </is>
      </c>
      <c r="U554" s="12" t="inlineStr">
        <is>
          <t>AI-generated idea: confirm real demand before writing a page for it. Theme 8</t>
        </is>
      </c>
    </row>
    <row r="555">
      <c r="A555" s="11" t="n">
        <v>554</v>
      </c>
      <c r="B555" s="12" t="inlineStr">
        <is>
          <t>What should I do when my Claude Code limit is reached?</t>
        </is>
      </c>
      <c r="C555" s="17" t="inlineStr">
        <is>
          <t>AEO</t>
        </is>
      </c>
      <c r="D555" s="12" t="inlineStr">
        <is>
          <t>ChatGPT: Claude Code limit complaints</t>
        </is>
      </c>
      <c r="E555" s="12" t="inlineStr">
        <is>
          <t>Limits</t>
        </is>
      </c>
      <c r="F555" s="13" t="n"/>
      <c r="G555" s="13" t="n"/>
      <c r="H555" s="14" t="n"/>
      <c r="I555" s="12" t="inlineStr">
        <is>
          <t>Informational</t>
        </is>
      </c>
      <c r="J555" s="15" t="n">
        <v>2</v>
      </c>
      <c r="K555" s="16">
        <f>IF(I555="","",IF(I555="Transactional",3,IF(I555="Commercial",2,1)))</f>
        <v/>
      </c>
      <c r="L555" s="16">
        <f>IF(G555="","",IF(G555&lt;=20,3,IF(G555&lt;=50,2,1)))</f>
        <v/>
      </c>
      <c r="M555" s="16">
        <f>IF(OR(J555="",K555="",L555=""),"",J555+K555+L555)</f>
        <v/>
      </c>
      <c r="N555" s="11" t="inlineStr">
        <is>
          <t>FAQ</t>
        </is>
      </c>
      <c r="O555" s="12" t="inlineStr">
        <is>
          <t>/claude-code-usage-limits</t>
        </is>
      </c>
      <c r="P555" s="12" t="inlineStr">
        <is>
          <t>Interactive guide</t>
        </is>
      </c>
      <c r="Q555" s="14" t="n"/>
      <c r="R555" s="14" t="n"/>
      <c r="S555" s="14" t="n"/>
      <c r="T555" s="12" t="inlineStr">
        <is>
          <t>Not started</t>
        </is>
      </c>
      <c r="U555" s="12" t="inlineStr">
        <is>
          <t>AI-generated idea: confirm real demand before writing a page for it. Theme 9: workflow disruption</t>
        </is>
      </c>
    </row>
    <row r="556">
      <c r="A556" s="11" t="n">
        <v>555</v>
      </c>
      <c r="B556" s="12" t="inlineStr">
        <is>
          <t>how to predict claude code usage</t>
        </is>
      </c>
      <c r="C556" s="11" t="inlineStr">
        <is>
          <t>SEO</t>
        </is>
      </c>
      <c r="D556" s="12" t="inlineStr">
        <is>
          <t>ChatGPT: Claude Code limit complaints</t>
        </is>
      </c>
      <c r="E556" s="12" t="inlineStr">
        <is>
          <t>Limits</t>
        </is>
      </c>
      <c r="F556" s="13" t="n"/>
      <c r="G556" s="13" t="n"/>
      <c r="H556" s="14" t="n"/>
      <c r="I556" s="12" t="inlineStr">
        <is>
          <t>Informational</t>
        </is>
      </c>
      <c r="J556" s="15" t="n">
        <v>3</v>
      </c>
      <c r="K556" s="16">
        <f>IF(I556="","",IF(I556="Transactional",3,IF(I556="Commercial",2,1)))</f>
        <v/>
      </c>
      <c r="L556" s="16">
        <f>IF(G556="","",IF(G556&lt;=20,3,IF(G556&lt;=50,2,1)))</f>
        <v/>
      </c>
      <c r="M556" s="16">
        <f>IF(OR(J556="",K556="",L556=""),"",J556+K556+L556)</f>
        <v/>
      </c>
      <c r="N556" s="11" t="inlineStr">
        <is>
          <t>Secondary</t>
        </is>
      </c>
      <c r="O556" s="12" t="inlineStr">
        <is>
          <t>/plan-headroom</t>
        </is>
      </c>
      <c r="P556" s="12" t="inlineStr">
        <is>
          <t>Feature</t>
        </is>
      </c>
      <c r="Q556" s="14" t="n"/>
      <c r="R556" s="14" t="n"/>
      <c r="S556" s="14" t="n"/>
      <c r="T556" s="12" t="inlineStr">
        <is>
          <t>Not started</t>
        </is>
      </c>
      <c r="U556" s="12" t="inlineStr">
        <is>
          <t>AI-generated idea: confirm real demand before writing a page for it. Theme 10: unpredictable planning</t>
        </is>
      </c>
    </row>
    <row r="557">
      <c r="A557" s="11" t="n">
        <v>556</v>
      </c>
      <c r="B557" s="12" t="inlineStr">
        <is>
          <t>Will my Claude usage last the whole workday?</t>
        </is>
      </c>
      <c r="C557" s="17" t="inlineStr">
        <is>
          <t>AEO</t>
        </is>
      </c>
      <c r="D557" s="12" t="inlineStr">
        <is>
          <t>ChatGPT: Claude Code limit complaints</t>
        </is>
      </c>
      <c r="E557" s="12" t="inlineStr">
        <is>
          <t>Limits</t>
        </is>
      </c>
      <c r="F557" s="13" t="n"/>
      <c r="G557" s="13" t="n"/>
      <c r="H557" s="14" t="n"/>
      <c r="I557" s="12" t="inlineStr">
        <is>
          <t>Informational</t>
        </is>
      </c>
      <c r="J557" s="15" t="n">
        <v>2</v>
      </c>
      <c r="K557" s="16">
        <f>IF(I557="","",IF(I557="Transactional",3,IF(I557="Commercial",2,1)))</f>
        <v/>
      </c>
      <c r="L557" s="16">
        <f>IF(G557="","",IF(G557&lt;=20,3,IF(G557&lt;=50,2,1)))</f>
        <v/>
      </c>
      <c r="M557" s="16">
        <f>IF(OR(J557="",K557="",L557=""),"",J557+K557+L557)</f>
        <v/>
      </c>
      <c r="N557" s="11" t="inlineStr">
        <is>
          <t>FAQ</t>
        </is>
      </c>
      <c r="O557" s="12" t="inlineStr">
        <is>
          <t>/claude-code-usage-limits</t>
        </is>
      </c>
      <c r="P557" s="12" t="inlineStr">
        <is>
          <t>Interactive guide</t>
        </is>
      </c>
      <c r="Q557" s="14" t="n"/>
      <c r="R557" s="14" t="n"/>
      <c r="S557" s="14" t="n"/>
      <c r="T557" s="12" t="inlineStr">
        <is>
          <t>Not started</t>
        </is>
      </c>
      <c r="U557" s="12" t="inlineStr">
        <is>
          <t>AI-generated idea: confirm real demand before writing a page for it. Theme 10</t>
        </is>
      </c>
    </row>
    <row r="558">
      <c r="A558" s="11" t="n">
        <v>557</v>
      </c>
      <c r="B558" s="12" t="inlineStr">
        <is>
          <t>claude code usage spike</t>
        </is>
      </c>
      <c r="C558" s="11" t="inlineStr">
        <is>
          <t>SEO</t>
        </is>
      </c>
      <c r="D558" s="12" t="inlineStr">
        <is>
          <t>ChatGPT: Claude Code limit complaints</t>
        </is>
      </c>
      <c r="E558" s="12" t="inlineStr">
        <is>
          <t>Limits</t>
        </is>
      </c>
      <c r="F558" s="13" t="n"/>
      <c r="G558" s="13" t="n"/>
      <c r="H558" s="14" t="n"/>
      <c r="I558" s="12" t="inlineStr">
        <is>
          <t>Informational</t>
        </is>
      </c>
      <c r="J558" s="15" t="n">
        <v>2</v>
      </c>
      <c r="K558" s="16">
        <f>IF(I558="","",IF(I558="Transactional",3,IF(I558="Commercial",2,1)))</f>
        <v/>
      </c>
      <c r="L558" s="16">
        <f>IF(G558="","",IF(G558&lt;=20,3,IF(G558&lt;=50,2,1)))</f>
        <v/>
      </c>
      <c r="M558" s="16">
        <f>IF(OR(J558="",K558="",L558=""),"",J558+K558+L558)</f>
        <v/>
      </c>
      <c r="N558" s="11" t="inlineStr">
        <is>
          <t>Secondary</t>
        </is>
      </c>
      <c r="O558" s="12" t="inlineStr">
        <is>
          <t>/claude-code-usage-limits</t>
        </is>
      </c>
      <c r="P558" s="12" t="inlineStr">
        <is>
          <t>Interactive guide</t>
        </is>
      </c>
      <c r="Q558" s="14" t="n"/>
      <c r="R558" s="14" t="n"/>
      <c r="S558" s="14" t="n"/>
      <c r="T558" s="12" t="inlineStr">
        <is>
          <t>Not started</t>
        </is>
      </c>
      <c r="U558" s="12" t="inlineStr">
        <is>
          <t>AI-generated idea: confirm real demand before writing a page for it. From Reddit reports cited by ChatGPT (not verified)</t>
        </is>
      </c>
    </row>
    <row r="559">
      <c r="A559" s="11" t="n">
        <v>558</v>
      </c>
      <c r="B559" s="12" t="inlineStr">
        <is>
          <t>claude usage meter jumped</t>
        </is>
      </c>
      <c r="C559" s="11" t="inlineStr">
        <is>
          <t>SEO</t>
        </is>
      </c>
      <c r="D559" s="12" t="inlineStr">
        <is>
          <t>ChatGPT: Claude Code limit complaints</t>
        </is>
      </c>
      <c r="E559" s="12" t="inlineStr">
        <is>
          <t>Limits</t>
        </is>
      </c>
      <c r="F559" s="13" t="n"/>
      <c r="G559" s="13" t="n"/>
      <c r="H559" s="14" t="n"/>
      <c r="I559" s="12" t="inlineStr">
        <is>
          <t>Informational</t>
        </is>
      </c>
      <c r="J559" s="15" t="n">
        <v>2</v>
      </c>
      <c r="K559" s="16">
        <f>IF(I559="","",IF(I559="Transactional",3,IF(I559="Commercial",2,1)))</f>
        <v/>
      </c>
      <c r="L559" s="16">
        <f>IF(G559="","",IF(G559&lt;=20,3,IF(G559&lt;=50,2,1)))</f>
        <v/>
      </c>
      <c r="M559" s="16">
        <f>IF(OR(J559="",K559="",L559=""),"",J559+K559+L559)</f>
        <v/>
      </c>
      <c r="N559" s="11" t="inlineStr">
        <is>
          <t>Secondary</t>
        </is>
      </c>
      <c r="O559" s="12" t="inlineStr">
        <is>
          <t>/claude-code-usage-limits</t>
        </is>
      </c>
      <c r="P559" s="12" t="inlineStr">
        <is>
          <t>Interactive guide</t>
        </is>
      </c>
      <c r="Q559" s="14" t="n"/>
      <c r="R559" s="14" t="n"/>
      <c r="S559" s="14" t="n"/>
      <c r="T559" s="12" t="inlineStr">
        <is>
          <t>Not started</t>
        </is>
      </c>
      <c r="U559" s="12" t="inlineStr">
        <is>
          <t>AI-generated idea: confirm real demand before writing a page for it. From Reddit reports cited by ChatGPT (not verified)</t>
        </is>
      </c>
    </row>
    <row r="560">
      <c r="A560" s="11" t="n">
        <v>559</v>
      </c>
      <c r="B560" s="12" t="inlineStr">
        <is>
          <t>claude team premium seat usage</t>
        </is>
      </c>
      <c r="C560" s="11" t="inlineStr">
        <is>
          <t>SEO</t>
        </is>
      </c>
      <c r="D560" s="12" t="inlineStr">
        <is>
          <t>Reddit / Hacker News</t>
        </is>
      </c>
      <c r="E560" s="12" t="inlineStr">
        <is>
          <t>Limits</t>
        </is>
      </c>
      <c r="F560" s="13" t="n"/>
      <c r="G560" s="13" t="n"/>
      <c r="H560" s="14" t="n"/>
      <c r="I560" s="12" t="inlineStr">
        <is>
          <t>Informational</t>
        </is>
      </c>
      <c r="J560" s="15" t="n">
        <v>2</v>
      </c>
      <c r="K560" s="16">
        <f>IF(I560="","",IF(I560="Transactional",3,IF(I560="Commercial",2,1)))</f>
        <v/>
      </c>
      <c r="L560" s="16">
        <f>IF(G560="","",IF(G560&lt;=20,3,IF(G560&lt;=50,2,1)))</f>
        <v/>
      </c>
      <c r="M560" s="16">
        <f>IF(OR(J560="",K560="",L560=""),"",J560+K560+L560)</f>
        <v/>
      </c>
      <c r="N560" s="11" t="inlineStr">
        <is>
          <t>Secondary</t>
        </is>
      </c>
      <c r="O560" s="12" t="inlineStr">
        <is>
          <t>/claude-code-usage-limits</t>
        </is>
      </c>
      <c r="P560" s="12" t="inlineStr">
        <is>
          <t>Interactive guide</t>
        </is>
      </c>
      <c r="Q560" s="14" t="n"/>
      <c r="R560" s="14" t="n"/>
      <c r="S560" s="14" t="n"/>
      <c r="T560" s="12" t="inlineStr">
        <is>
          <t>Not started</t>
        </is>
      </c>
      <c r="U560" s="12" t="inlineStr">
        <is>
          <t>Reddit r/ClaudeAI "Claude Team (10x premium seat)": "only 1 dev complains that the usage is not enough"</t>
        </is>
      </c>
    </row>
    <row r="561">
      <c r="A561" s="11" t="n">
        <v>560</v>
      </c>
      <c r="B561" s="12" t="inlineStr">
        <is>
          <t>is claude team premium seat enough for developers</t>
        </is>
      </c>
      <c r="C561" s="11" t="inlineStr">
        <is>
          <t>AEO</t>
        </is>
      </c>
      <c r="D561" s="12" t="inlineStr">
        <is>
          <t>Reddit / Hacker News</t>
        </is>
      </c>
      <c r="E561" s="12" t="inlineStr">
        <is>
          <t>Limits</t>
        </is>
      </c>
      <c r="F561" s="13" t="n"/>
      <c r="G561" s="13" t="n"/>
      <c r="H561" s="14" t="n"/>
      <c r="I561" s="12" t="inlineStr">
        <is>
          <t>Informational</t>
        </is>
      </c>
      <c r="J561" s="15" t="n">
        <v>2</v>
      </c>
      <c r="K561" s="16">
        <f>IF(I561="","",IF(I561="Transactional",3,IF(I561="Commercial",2,1)))</f>
        <v/>
      </c>
      <c r="L561" s="16">
        <f>IF(G561="","",IF(G561&lt;=20,3,IF(G561&lt;=50,2,1)))</f>
        <v/>
      </c>
      <c r="M561" s="16">
        <f>IF(OR(J561="",K561="",L561=""),"",J561+K561+L561)</f>
        <v/>
      </c>
      <c r="N561" s="11" t="inlineStr">
        <is>
          <t>FAQ</t>
        </is>
      </c>
      <c r="O561" s="12" t="inlineStr">
        <is>
          <t>/claude-code-usage-limits</t>
        </is>
      </c>
      <c r="P561" s="12" t="inlineStr">
        <is>
          <t>Interactive guide</t>
        </is>
      </c>
      <c r="Q561" s="14" t="n"/>
      <c r="R561" s="14" t="n"/>
      <c r="S561" s="14" t="n"/>
      <c r="T561" s="12" t="inlineStr">
        <is>
          <t>Not started</t>
        </is>
      </c>
      <c r="U561" s="12" t="inlineStr">
        <is>
          <t>Reddit r/ClaudeAI "Claude Team (10x premium seat)": "only 1 dev complains that the usage is not enough"</t>
        </is>
      </c>
    </row>
    <row r="562">
      <c r="A562" s="11" t="n">
        <v>561</v>
      </c>
      <c r="B562" s="12" t="inlineStr">
        <is>
          <t>which developer is using up our claude usage</t>
        </is>
      </c>
      <c r="C562" s="11" t="inlineStr">
        <is>
          <t>AEO</t>
        </is>
      </c>
      <c r="D562" s="12" t="inlineStr">
        <is>
          <t>Reddit / Hacker News</t>
        </is>
      </c>
      <c r="E562" s="12" t="inlineStr">
        <is>
          <t>Team &amp; Projects</t>
        </is>
      </c>
      <c r="F562" s="13" t="n"/>
      <c r="G562" s="13" t="n"/>
      <c r="H562" s="14" t="n"/>
      <c r="I562" s="12" t="inlineStr">
        <is>
          <t>Commercial</t>
        </is>
      </c>
      <c r="J562" s="15" t="n">
        <v>3</v>
      </c>
      <c r="K562" s="16">
        <f>IF(I562="","",IF(I562="Transactional",3,IF(I562="Commercial",2,1)))</f>
        <v/>
      </c>
      <c r="L562" s="16">
        <f>IF(G562="","",IF(G562&lt;=20,3,IF(G562&lt;=50,2,1)))</f>
        <v/>
      </c>
      <c r="M562" s="16">
        <f>IF(OR(J562="",K562="",L562=""),"",J562+K562+L562)</f>
        <v/>
      </c>
      <c r="N562" s="11" t="inlineStr">
        <is>
          <t>FAQ</t>
        </is>
      </c>
      <c r="O562" s="12" t="inlineStr">
        <is>
          <t>/ai-cost-tracking</t>
        </is>
      </c>
      <c r="P562" s="12" t="inlineStr">
        <is>
          <t>Interactive guide</t>
        </is>
      </c>
      <c r="Q562" s="14" t="n"/>
      <c r="R562" s="14" t="n"/>
      <c r="S562" s="14" t="n"/>
      <c r="T562" s="12" t="inlineStr">
        <is>
          <t>Not started</t>
        </is>
      </c>
      <c r="U562" s="12" t="inlineStr">
        <is>
          <t>Reddit r/ClaudeAI "Claude Team (10x premium seat)": "only 1 dev complains that the usage is not enough" + "people that don't know what they're doing hammer through the credits"</t>
        </is>
      </c>
    </row>
    <row r="563">
      <c r="A563" s="11" t="n">
        <v>562</v>
      </c>
      <c r="B563" s="12" t="inlineStr">
        <is>
          <t>what is going on with claude usage limits</t>
        </is>
      </c>
      <c r="C563" s="11" t="inlineStr">
        <is>
          <t>AEO</t>
        </is>
      </c>
      <c r="D563" s="12" t="inlineStr">
        <is>
          <t>Reddit / Hacker News</t>
        </is>
      </c>
      <c r="E563" s="12" t="inlineStr">
        <is>
          <t>Limits</t>
        </is>
      </c>
      <c r="F563" s="13" t="n"/>
      <c r="G563" s="13" t="n"/>
      <c r="H563" s="14" t="n"/>
      <c r="I563" s="12" t="inlineStr">
        <is>
          <t>Informational</t>
        </is>
      </c>
      <c r="J563" s="15" t="n">
        <v>1</v>
      </c>
      <c r="K563" s="16">
        <f>IF(I563="","",IF(I563="Transactional",3,IF(I563="Commercial",2,1)))</f>
        <v/>
      </c>
      <c r="L563" s="16">
        <f>IF(G563="","",IF(G563&lt;=20,3,IF(G563&lt;=50,2,1)))</f>
        <v/>
      </c>
      <c r="M563" s="16">
        <f>IF(OR(J563="",K563="",L563=""),"",J563+K563+L563)</f>
        <v/>
      </c>
      <c r="N563" s="11" t="inlineStr">
        <is>
          <t>FAQ</t>
        </is>
      </c>
      <c r="O563" s="12" t="inlineStr">
        <is>
          <t>/claude-code-usage-limits</t>
        </is>
      </c>
      <c r="P563" s="12" t="inlineStr">
        <is>
          <t>Interactive guide</t>
        </is>
      </c>
      <c r="Q563" s="14" t="n"/>
      <c r="R563" s="14" t="n"/>
      <c r="S563" s="14" t="n"/>
      <c r="T563" s="12" t="inlineStr">
        <is>
          <t>Not started</t>
        </is>
      </c>
      <c r="U563" s="12" t="inlineStr">
        <is>
          <t>Reddit r/artificial post title "So, what exactly is going on with the Claude usage limits?"</t>
        </is>
      </c>
    </row>
    <row r="564">
      <c r="A564" s="11" t="n">
        <v>563</v>
      </c>
      <c r="B564" s="12" t="inlineStr">
        <is>
          <t>claude code weekly rate limits</t>
        </is>
      </c>
      <c r="C564" s="11" t="inlineStr">
        <is>
          <t>SEO</t>
        </is>
      </c>
      <c r="D564" s="12" t="inlineStr">
        <is>
          <t>Reddit / Hacker News</t>
        </is>
      </c>
      <c r="E564" s="12" t="inlineStr">
        <is>
          <t>Limits</t>
        </is>
      </c>
      <c r="F564" s="13" t="n"/>
      <c r="G564" s="13" t="n"/>
      <c r="H564" s="14" t="n"/>
      <c r="I564" s="12" t="inlineStr">
        <is>
          <t>Informational</t>
        </is>
      </c>
      <c r="J564" s="15" t="n">
        <v>2</v>
      </c>
      <c r="K564" s="16">
        <f>IF(I564="","",IF(I564="Transactional",3,IF(I564="Commercial",2,1)))</f>
        <v/>
      </c>
      <c r="L564" s="16">
        <f>IF(G564="","",IF(G564&lt;=20,3,IF(G564&lt;=50,2,1)))</f>
        <v/>
      </c>
      <c r="M564" s="16">
        <f>IF(OR(J564="",K564="",L564=""),"",J564+K564+L564)</f>
        <v/>
      </c>
      <c r="N564" s="11" t="inlineStr">
        <is>
          <t>Secondary</t>
        </is>
      </c>
      <c r="O564" s="12" t="inlineStr">
        <is>
          <t>/claude-code-usage-limits</t>
        </is>
      </c>
      <c r="P564" s="12" t="inlineStr">
        <is>
          <t>Interactive guide</t>
        </is>
      </c>
      <c r="Q564" s="14" t="n"/>
      <c r="R564" s="14" t="n"/>
      <c r="S564" s="14" t="n"/>
      <c r="T564" s="12" t="inlineStr">
        <is>
          <t>Not started</t>
        </is>
      </c>
      <c r="U564" s="12" t="inlineStr">
        <is>
          <t>Exact title of HN "Claude Code weekly rate limits" (609 pts, 705 comments)</t>
        </is>
      </c>
    </row>
    <row r="565">
      <c r="A565" s="11" t="n">
        <v>564</v>
      </c>
      <c r="B565" s="12" t="inlineStr">
        <is>
          <t>claude code how close am i to the limit</t>
        </is>
      </c>
      <c r="C565" s="11" t="inlineStr">
        <is>
          <t>AEO</t>
        </is>
      </c>
      <c r="D565" s="12" t="inlineStr">
        <is>
          <t>Reddit / Hacker News</t>
        </is>
      </c>
      <c r="E565" s="12" t="inlineStr">
        <is>
          <t>Limits</t>
        </is>
      </c>
      <c r="F565" s="13" t="n"/>
      <c r="G565" s="13" t="n"/>
      <c r="H565" s="14" t="n"/>
      <c r="I565" s="12" t="inlineStr">
        <is>
          <t>Informational</t>
        </is>
      </c>
      <c r="J565" s="15" t="n">
        <v>3</v>
      </c>
      <c r="K565" s="16">
        <f>IF(I565="","",IF(I565="Transactional",3,IF(I565="Commercial",2,1)))</f>
        <v/>
      </c>
      <c r="L565" s="16">
        <f>IF(G565="","",IF(G565&lt;=20,3,IF(G565&lt;=50,2,1)))</f>
        <v/>
      </c>
      <c r="M565" s="16">
        <f>IF(OR(J565="",K565="",L565=""),"",J565+K565+L565)</f>
        <v/>
      </c>
      <c r="N565" s="11" t="inlineStr">
        <is>
          <t>FAQ</t>
        </is>
      </c>
      <c r="O565" s="12" t="inlineStr">
        <is>
          <t>/plan-headroom</t>
        </is>
      </c>
      <c r="P565" s="12" t="inlineStr">
        <is>
          <t>Feature</t>
        </is>
      </c>
      <c r="Q565" s="14" t="n"/>
      <c r="R565" s="14" t="n"/>
      <c r="S565" s="14" t="n"/>
      <c r="T565" s="12" t="inlineStr">
        <is>
          <t>Not started</t>
        </is>
      </c>
      <c r="U565" s="12" t="inlineStr">
        <is>
          <t>HN "Claude Code weekly rate limits" (609 pts, 705 comments): "The lack of visible progress towards limits is annoying."</t>
        </is>
      </c>
    </row>
    <row r="566">
      <c r="A566" s="11" t="n">
        <v>565</v>
      </c>
      <c r="B566" s="12" t="inlineStr">
        <is>
          <t>does ccusage show claude code limits</t>
        </is>
      </c>
      <c r="C566" s="11" t="inlineStr">
        <is>
          <t>AEO</t>
        </is>
      </c>
      <c r="D566" s="12" t="inlineStr">
        <is>
          <t>Reddit / Hacker News</t>
        </is>
      </c>
      <c r="E566" s="12" t="inlineStr">
        <is>
          <t>Tool: Claude Code</t>
        </is>
      </c>
      <c r="F566" s="13" t="n"/>
      <c r="G566" s="13" t="n"/>
      <c r="H566" s="14" t="n"/>
      <c r="I566" s="12" t="inlineStr">
        <is>
          <t>Informational</t>
        </is>
      </c>
      <c r="J566" s="15" t="n">
        <v>2</v>
      </c>
      <c r="K566" s="16">
        <f>IF(I566="","",IF(I566="Transactional",3,IF(I566="Commercial",2,1)))</f>
        <v/>
      </c>
      <c r="L566" s="16">
        <f>IF(G566="","",IF(G566&lt;=20,3,IF(G566&lt;=50,2,1)))</f>
        <v/>
      </c>
      <c r="M566" s="16">
        <f>IF(OR(J566="",K566="",L566=""),"",J566+K566+L566)</f>
        <v/>
      </c>
      <c r="N566" s="11" t="inlineStr">
        <is>
          <t>FAQ</t>
        </is>
      </c>
      <c r="O566" s="12" t="inlineStr">
        <is>
          <t>/integrations/claude-code</t>
        </is>
      </c>
      <c r="P566" s="12" t="inlineStr">
        <is>
          <t>Integration</t>
        </is>
      </c>
      <c r="Q566" s="14" t="n"/>
      <c r="R566" s="14" t="n"/>
      <c r="S566" s="14" t="n"/>
      <c r="T566" s="12" t="inlineStr">
        <is>
          <t>Not started</t>
        </is>
      </c>
      <c r="U566" s="12" t="inlineStr">
        <is>
          <t>HN "Claude Code weekly rate limits" (609 pts, 705 comments): "Does ccusage ... actually tell you what the limits are or how close you are"</t>
        </is>
      </c>
    </row>
    <row r="567">
      <c r="A567" s="11" t="n">
        <v>566</v>
      </c>
      <c r="B567" s="12" t="inlineStr">
        <is>
          <t>multiple claude max subscriptions vs api</t>
        </is>
      </c>
      <c r="C567" s="11" t="inlineStr">
        <is>
          <t>SEO</t>
        </is>
      </c>
      <c r="D567" s="12" t="inlineStr">
        <is>
          <t>Reddit / Hacker News</t>
        </is>
      </c>
      <c r="E567" s="12" t="inlineStr">
        <is>
          <t>Cost</t>
        </is>
      </c>
      <c r="F567" s="13" t="n"/>
      <c r="G567" s="13" t="n"/>
      <c r="H567" s="14" t="n"/>
      <c r="I567" s="12" t="inlineStr">
        <is>
          <t>Commercial</t>
        </is>
      </c>
      <c r="J567" s="15" t="n">
        <v>2</v>
      </c>
      <c r="K567" s="16">
        <f>IF(I567="","",IF(I567="Transactional",3,IF(I567="Commercial",2,1)))</f>
        <v/>
      </c>
      <c r="L567" s="16">
        <f>IF(G567="","",IF(G567&lt;=20,3,IF(G567&lt;=50,2,1)))</f>
        <v/>
      </c>
      <c r="M567" s="16">
        <f>IF(OR(J567="",K567="",L567=""),"",J567+K567+L567)</f>
        <v/>
      </c>
      <c r="N567" s="11" t="inlineStr">
        <is>
          <t>Secondary</t>
        </is>
      </c>
      <c r="O567" s="12" t="inlineStr">
        <is>
          <t>/blog/reduce-ai-coding-costs</t>
        </is>
      </c>
      <c r="P567" s="12" t="inlineStr">
        <is>
          <t>Blog</t>
        </is>
      </c>
      <c r="Q567" s="14" t="n"/>
      <c r="R567" s="14" t="n"/>
      <c r="S567" s="14" t="n"/>
      <c r="T567" s="12" t="inlineStr">
        <is>
          <t>Not started</t>
        </is>
      </c>
      <c r="U567" s="12" t="inlineStr">
        <is>
          <t>HN "Claude Code weekly rate limits" (609 pts, 705 comments): "Just buy multiple Max subscriptions." / "I use the API. Just pay-per-use."</t>
        </is>
      </c>
    </row>
    <row r="568">
      <c r="A568" s="11" t="n">
        <v>567</v>
      </c>
      <c r="B568" s="12" t="inlineStr">
        <is>
          <t>claude max plan plus api overflow</t>
        </is>
      </c>
      <c r="C568" s="11" t="inlineStr">
        <is>
          <t>SEO</t>
        </is>
      </c>
      <c r="D568" s="12" t="inlineStr">
        <is>
          <t>Reddit / Hacker News</t>
        </is>
      </c>
      <c r="E568" s="12" t="inlineStr">
        <is>
          <t>Cost</t>
        </is>
      </c>
      <c r="F568" s="13" t="n"/>
      <c r="G568" s="13" t="n"/>
      <c r="H568" s="14" t="n"/>
      <c r="I568" s="12" t="inlineStr">
        <is>
          <t>Informational</t>
        </is>
      </c>
      <c r="J568" s="15" t="n">
        <v>1</v>
      </c>
      <c r="K568" s="16">
        <f>IF(I568="","",IF(I568="Transactional",3,IF(I568="Commercial",2,1)))</f>
        <v/>
      </c>
      <c r="L568" s="16">
        <f>IF(G568="","",IF(G568&lt;=20,3,IF(G568&lt;=50,2,1)))</f>
        <v/>
      </c>
      <c r="M568" s="16">
        <f>IF(OR(J568="",K568="",L568=""),"",J568+K568+L568)</f>
        <v/>
      </c>
      <c r="N568" s="11" t="inlineStr">
        <is>
          <t>Secondary</t>
        </is>
      </c>
      <c r="O568" s="12" t="inlineStr">
        <is>
          <t>/blog/reduce-ai-coding-costs</t>
        </is>
      </c>
      <c r="P568" s="12" t="inlineStr">
        <is>
          <t>Blog</t>
        </is>
      </c>
      <c r="Q568" s="14" t="n"/>
      <c r="R568" s="14" t="n"/>
      <c r="S568" s="14" t="n"/>
      <c r="T568" s="12" t="inlineStr">
        <is>
          <t>Not started</t>
        </is>
      </c>
      <c r="U568" s="12" t="inlineStr">
        <is>
          <t>HN "Claude Code weekly rate limits" (609 pts, 705 comments): "Would the $100/month plan plus API for overflow come out ahead?"</t>
        </is>
      </c>
    </row>
    <row r="569">
      <c r="A569" s="11" t="n">
        <v>568</v>
      </c>
      <c r="B569" s="12" t="inlineStr">
        <is>
          <t>control claude code spend small team</t>
        </is>
      </c>
      <c r="C569" s="11" t="inlineStr">
        <is>
          <t>SEO</t>
        </is>
      </c>
      <c r="D569" s="12" t="inlineStr">
        <is>
          <t>Reddit / Hacker News</t>
        </is>
      </c>
      <c r="E569" s="12" t="inlineStr">
        <is>
          <t>Cost</t>
        </is>
      </c>
      <c r="F569" s="13" t="n"/>
      <c r="G569" s="13" t="n"/>
      <c r="H569" s="14" t="n"/>
      <c r="I569" s="12" t="inlineStr">
        <is>
          <t>Commercial</t>
        </is>
      </c>
      <c r="J569" s="15" t="n">
        <v>3</v>
      </c>
      <c r="K569" s="16">
        <f>IF(I569="","",IF(I569="Transactional",3,IF(I569="Commercial",2,1)))</f>
        <v/>
      </c>
      <c r="L569" s="16">
        <f>IF(G569="","",IF(G569&lt;=20,3,IF(G569&lt;=50,2,1)))</f>
        <v/>
      </c>
      <c r="M569" s="16">
        <f>IF(OR(J569="",K569="",L569=""),"",J569+K569+L569)</f>
        <v/>
      </c>
      <c r="N569" s="11" t="inlineStr">
        <is>
          <t>Secondary</t>
        </is>
      </c>
      <c r="O569" s="12" t="inlineStr">
        <is>
          <t>/ai-cost-tracking</t>
        </is>
      </c>
      <c r="P569" s="12" t="inlineStr">
        <is>
          <t>Interactive guide</t>
        </is>
      </c>
      <c r="Q569" s="14" t="n"/>
      <c r="R569" s="14" t="n"/>
      <c r="S569" s="14" t="n"/>
      <c r="T569" s="12" t="inlineStr">
        <is>
          <t>Not started</t>
        </is>
      </c>
      <c r="U569" s="12" t="inlineStr">
        <is>
          <t>HN comment: Cursor/Windsurf made it easy "to setup Team accounts and have control over spend"; Claude Code does not for small teams</t>
        </is>
      </c>
    </row>
    <row r="570">
      <c r="A570" s="11" t="n">
        <v>569</v>
      </c>
      <c r="B570" s="12" t="inlineStr">
        <is>
          <t>how is my team using claude code</t>
        </is>
      </c>
      <c r="C570" s="11" t="inlineStr">
        <is>
          <t>AEO</t>
        </is>
      </c>
      <c r="D570" s="12" t="inlineStr">
        <is>
          <t>Reddit / Hacker News</t>
        </is>
      </c>
      <c r="E570" s="12" t="inlineStr">
        <is>
          <t>Tool: Claude Code</t>
        </is>
      </c>
      <c r="F570" s="13" t="n"/>
      <c r="G570" s="13" t="n"/>
      <c r="H570" s="14" t="n"/>
      <c r="I570" s="12" t="inlineStr">
        <is>
          <t>Commercial</t>
        </is>
      </c>
      <c r="J570" s="15" t="n">
        <v>3</v>
      </c>
      <c r="K570" s="16">
        <f>IF(I570="","",IF(I570="Transactional",3,IF(I570="Commercial",2,1)))</f>
        <v/>
      </c>
      <c r="L570" s="16">
        <f>IF(G570="","",IF(G570&lt;=20,3,IF(G570&lt;=50,2,1)))</f>
        <v/>
      </c>
      <c r="M570" s="16">
        <f>IF(OR(J570="",K570="",L570=""),"",J570+K570+L570)</f>
        <v/>
      </c>
      <c r="N570" s="11" t="inlineStr">
        <is>
          <t>FAQ</t>
        </is>
      </c>
      <c r="O570" s="12" t="inlineStr">
        <is>
          <t>/integrations/claude-code</t>
        </is>
      </c>
      <c r="P570" s="12" t="inlineStr">
        <is>
          <t>Integration</t>
        </is>
      </c>
      <c r="Q570" s="14" t="n"/>
      <c r="R570" s="14" t="n"/>
      <c r="S570" s="14" t="n"/>
      <c r="T570" s="12" t="inlineStr">
        <is>
          <t>Not started</t>
        </is>
      </c>
      <c r="U570" s="12" t="inlineStr">
        <is>
          <t>HN Show HN (Crono): "insights into how you and your team are using Claude Code"</t>
        </is>
      </c>
    </row>
    <row r="571">
      <c r="A571" s="11" t="n">
        <v>570</v>
      </c>
      <c r="B571" s="12" t="inlineStr">
        <is>
          <t>team usage tracking claude code codex opencode</t>
        </is>
      </c>
      <c r="C571" s="11" t="inlineStr">
        <is>
          <t>SEO</t>
        </is>
      </c>
      <c r="D571" s="12" t="inlineStr">
        <is>
          <t>Reddit / Hacker News</t>
        </is>
      </c>
      <c r="E571" s="12" t="inlineStr">
        <is>
          <t>Multi-tool</t>
        </is>
      </c>
      <c r="F571" s="13" t="n"/>
      <c r="G571" s="13" t="n"/>
      <c r="H571" s="14" t="n"/>
      <c r="I571" s="12" t="inlineStr">
        <is>
          <t>Commercial</t>
        </is>
      </c>
      <c r="J571" s="15" t="n">
        <v>3</v>
      </c>
      <c r="K571" s="16">
        <f>IF(I571="","",IF(I571="Transactional",3,IF(I571="Commercial",2,1)))</f>
        <v/>
      </c>
      <c r="L571" s="16">
        <f>IF(G571="","",IF(G571&lt;=20,3,IF(G571&lt;=50,2,1)))</f>
        <v/>
      </c>
      <c r="M571" s="16">
        <f>IF(OR(J571="",K571="",L571=""),"",J571+K571+L571)</f>
        <v/>
      </c>
      <c r="N571" s="11" t="inlineStr">
        <is>
          <t>Secondary</t>
        </is>
      </c>
      <c r="O571" s="12" t="inlineStr">
        <is>
          <t>/ai-coding-analytics</t>
        </is>
      </c>
      <c r="P571" s="12" t="inlineStr">
        <is>
          <t>Solution</t>
        </is>
      </c>
      <c r="Q571" s="14" t="n"/>
      <c r="R571" s="14" t="n"/>
      <c r="S571" s="14" t="n"/>
      <c r="T571" s="12" t="inlineStr">
        <is>
          <t>Not started</t>
        </is>
      </c>
      <c r="U571" s="12" t="inlineStr">
        <is>
          <t>HN "Show HN: Multiplayer Usage Tracking for Claude Code, Codex and OpenCode" (Jun 2026, competitor signal)</t>
        </is>
      </c>
    </row>
    <row r="572">
      <c r="A572" s="11" t="n">
        <v>571</v>
      </c>
      <c r="B572" s="12" t="inlineStr">
        <is>
          <t>track ai coding tool usage across team</t>
        </is>
      </c>
      <c r="C572" s="11" t="inlineStr">
        <is>
          <t>SEO</t>
        </is>
      </c>
      <c r="D572" s="12" t="inlineStr">
        <is>
          <t>Reddit / Hacker News</t>
        </is>
      </c>
      <c r="E572" s="12" t="inlineStr">
        <is>
          <t>Multi-tool</t>
        </is>
      </c>
      <c r="F572" s="13" t="n"/>
      <c r="G572" s="13" t="n"/>
      <c r="H572" s="14" t="n"/>
      <c r="I572" s="12" t="inlineStr">
        <is>
          <t>Commercial</t>
        </is>
      </c>
      <c r="J572" s="15" t="n">
        <v>3</v>
      </c>
      <c r="K572" s="16">
        <f>IF(I572="","",IF(I572="Transactional",3,IF(I572="Commercial",2,1)))</f>
        <v/>
      </c>
      <c r="L572" s="16">
        <f>IF(G572="","",IF(G572&lt;=20,3,IF(G572&lt;=50,2,1)))</f>
        <v/>
      </c>
      <c r="M572" s="16">
        <f>IF(OR(J572="",K572="",L572=""),"",J572+K572+L572)</f>
        <v/>
      </c>
      <c r="N572" s="11" t="inlineStr">
        <is>
          <t>Secondary</t>
        </is>
      </c>
      <c r="O572" s="12" t="inlineStr">
        <is>
          <t>/ai-coding-analytics</t>
        </is>
      </c>
      <c r="P572" s="12" t="inlineStr">
        <is>
          <t>Solution</t>
        </is>
      </c>
      <c r="Q572" s="14" t="n"/>
      <c r="R572" s="14" t="n"/>
      <c r="S572" s="14" t="n"/>
      <c r="T572" s="12" t="inlineStr">
        <is>
          <t>Not started</t>
        </is>
      </c>
      <c r="U572" s="12" t="inlineStr">
        <is>
          <t>HN "Show HN: Track and analyze AI coding tool usage across your team"</t>
        </is>
      </c>
    </row>
    <row r="573">
      <c r="A573" s="11" t="n">
        <v>572</v>
      </c>
      <c r="B573" s="12" t="inlineStr">
        <is>
          <t>track what you spend on ai coding tools</t>
        </is>
      </c>
      <c r="C573" s="11" t="inlineStr">
        <is>
          <t>SEO</t>
        </is>
      </c>
      <c r="D573" s="12" t="inlineStr">
        <is>
          <t>Reddit / Hacker News</t>
        </is>
      </c>
      <c r="E573" s="12" t="inlineStr">
        <is>
          <t>Cost</t>
        </is>
      </c>
      <c r="F573" s="13" t="n"/>
      <c r="G573" s="13" t="n"/>
      <c r="H573" s="14" t="n"/>
      <c r="I573" s="12" t="inlineStr">
        <is>
          <t>Commercial</t>
        </is>
      </c>
      <c r="J573" s="15" t="n">
        <v>3</v>
      </c>
      <c r="K573" s="16">
        <f>IF(I573="","",IF(I573="Transactional",3,IF(I573="Commercial",2,1)))</f>
        <v/>
      </c>
      <c r="L573" s="16">
        <f>IF(G573="","",IF(G573&lt;=20,3,IF(G573&lt;=50,2,1)))</f>
        <v/>
      </c>
      <c r="M573" s="16">
        <f>IF(OR(J573="",K573="",L573=""),"",J573+K573+L573)</f>
        <v/>
      </c>
      <c r="N573" s="11" t="inlineStr">
        <is>
          <t>Secondary</t>
        </is>
      </c>
      <c r="O573" s="12" t="inlineStr">
        <is>
          <t>/ai-cost-tracking</t>
        </is>
      </c>
      <c r="P573" s="12" t="inlineStr">
        <is>
          <t>Interactive guide</t>
        </is>
      </c>
      <c r="Q573" s="14" t="n"/>
      <c r="R573" s="14" t="n"/>
      <c r="S573" s="14" t="n"/>
      <c r="T573" s="12" t="inlineStr">
        <is>
          <t>Not started</t>
        </is>
      </c>
      <c r="U573" s="12" t="inlineStr">
        <is>
          <t>HN "Show HN: BurnRate - Track what you spend on AI coding tools" (competitor signal)</t>
        </is>
      </c>
    </row>
    <row r="574">
      <c r="A574" s="11" t="n">
        <v>573</v>
      </c>
      <c r="B574" s="12" t="inlineStr">
        <is>
          <t>how to keep ai coding agents from burning money</t>
        </is>
      </c>
      <c r="C574" s="11" t="inlineStr">
        <is>
          <t>AEO</t>
        </is>
      </c>
      <c r="D574" s="12" t="inlineStr">
        <is>
          <t>Reddit / Hacker News</t>
        </is>
      </c>
      <c r="E574" s="12" t="inlineStr">
        <is>
          <t>Cost</t>
        </is>
      </c>
      <c r="F574" s="13" t="n"/>
      <c r="G574" s="13" t="n"/>
      <c r="H574" s="14" t="n"/>
      <c r="I574" s="12" t="inlineStr">
        <is>
          <t>Informational</t>
        </is>
      </c>
      <c r="J574" s="15" t="n">
        <v>3</v>
      </c>
      <c r="K574" s="16">
        <f>IF(I574="","",IF(I574="Transactional",3,IF(I574="Commercial",2,1)))</f>
        <v/>
      </c>
      <c r="L574" s="16">
        <f>IF(G574="","",IF(G574&lt;=20,3,IF(G574&lt;=50,2,1)))</f>
        <v/>
      </c>
      <c r="M574" s="16">
        <f>IF(OR(J574="",K574="",L574=""),"",J574+K574+L574)</f>
        <v/>
      </c>
      <c r="N574" s="11" t="inlineStr">
        <is>
          <t>FAQ</t>
        </is>
      </c>
      <c r="O574" s="12" t="inlineStr">
        <is>
          <t>/blog/reduce-ai-coding-costs</t>
        </is>
      </c>
      <c r="P574" s="12" t="inlineStr">
        <is>
          <t>Blog</t>
        </is>
      </c>
      <c r="Q574" s="14" t="n"/>
      <c r="R574" s="14" t="n"/>
      <c r="S574" s="14" t="n"/>
      <c r="T574" s="12" t="inlineStr">
        <is>
          <t>Not started</t>
        </is>
      </c>
      <c r="U574" s="12" t="inlineStr">
        <is>
          <t>Near-exact title of HN "Ask HN: How are you keeping AI coding agents from burning money?" (Mar 2026)</t>
        </is>
      </c>
    </row>
    <row r="575">
      <c r="A575" s="11" t="n">
        <v>574</v>
      </c>
      <c r="B575" s="12" t="inlineStr">
        <is>
          <t>ai coding agent cost per task</t>
        </is>
      </c>
      <c r="C575" s="11" t="inlineStr">
        <is>
          <t>SEO</t>
        </is>
      </c>
      <c r="D575" s="12" t="inlineStr">
        <is>
          <t>Reddit / Hacker News</t>
        </is>
      </c>
      <c r="E575" s="12" t="inlineStr">
        <is>
          <t>Cost</t>
        </is>
      </c>
      <c r="F575" s="13" t="n"/>
      <c r="G575" s="13" t="n"/>
      <c r="H575" s="14" t="n"/>
      <c r="I575" s="12" t="inlineStr">
        <is>
          <t>Commercial</t>
        </is>
      </c>
      <c r="J575" s="15" t="n">
        <v>2</v>
      </c>
      <c r="K575" s="16">
        <f>IF(I575="","",IF(I575="Transactional",3,IF(I575="Commercial",2,1)))</f>
        <v/>
      </c>
      <c r="L575" s="16">
        <f>IF(G575="","",IF(G575&lt;=20,3,IF(G575&lt;=50,2,1)))</f>
        <v/>
      </c>
      <c r="M575" s="16">
        <f>IF(OR(J575="",K575="",L575=""),"",J575+K575+L575)</f>
        <v/>
      </c>
      <c r="N575" s="11" t="inlineStr">
        <is>
          <t>Secondary</t>
        </is>
      </c>
      <c r="O575" s="12" t="inlineStr">
        <is>
          <t>/ai-cost-tracking</t>
        </is>
      </c>
      <c r="P575" s="12" t="inlineStr">
        <is>
          <t>Interactive guide</t>
        </is>
      </c>
      <c r="Q575" s="14" t="n"/>
      <c r="R575" s="14" t="n"/>
      <c r="S575" s="14" t="n"/>
      <c r="T575" s="12" t="inlineStr">
        <is>
          <t>Not started</t>
        </is>
      </c>
      <c r="U575" s="12" t="inlineStr">
        <is>
          <t>HN "Ask HN: How are you keeping AI coding agents from burning money?" (Mar 2026): OP wanted "visibility + limits per agent/task". Kite Pulse shows per person/project/tool, check task-level fit</t>
        </is>
      </c>
    </row>
    <row r="576">
      <c r="A576" s="11" t="n">
        <v>575</v>
      </c>
      <c r="B576" s="12" t="inlineStr">
        <is>
          <t>ai coding agent cost per repo</t>
        </is>
      </c>
      <c r="C576" s="11" t="inlineStr">
        <is>
          <t>SEO</t>
        </is>
      </c>
      <c r="D576" s="12" t="inlineStr">
        <is>
          <t>Reddit / Hacker News</t>
        </is>
      </c>
      <c r="E576" s="12" t="inlineStr">
        <is>
          <t>Team &amp; Projects</t>
        </is>
      </c>
      <c r="F576" s="13" t="n"/>
      <c r="G576" s="13" t="n"/>
      <c r="H576" s="14" t="n"/>
      <c r="I576" s="12" t="inlineStr">
        <is>
          <t>Commercial</t>
        </is>
      </c>
      <c r="J576" s="15" t="n">
        <v>3</v>
      </c>
      <c r="K576" s="16">
        <f>IF(I576="","",IF(I576="Transactional",3,IF(I576="Commercial",2,1)))</f>
        <v/>
      </c>
      <c r="L576" s="16">
        <f>IF(G576="","",IF(G576&lt;=20,3,IF(G576&lt;=50,2,1)))</f>
        <v/>
      </c>
      <c r="M576" s="16">
        <f>IF(OR(J576="",K576="",L576=""),"",J576+K576+L576)</f>
        <v/>
      </c>
      <c r="N576" s="11" t="inlineStr">
        <is>
          <t>Secondary</t>
        </is>
      </c>
      <c r="O576" s="12" t="inlineStr">
        <is>
          <t>/ai-cost-tracking</t>
        </is>
      </c>
      <c r="P576" s="12" t="inlineStr">
        <is>
          <t>Interactive guide</t>
        </is>
      </c>
      <c r="Q576" s="14" t="n"/>
      <c r="R576" s="14" t="n"/>
      <c r="S576" s="14" t="n"/>
      <c r="T576" s="12" t="inlineStr">
        <is>
          <t>Not started</t>
        </is>
      </c>
      <c r="U576" s="12" t="inlineStr">
        <is>
          <t>HN "Ask HN: How are you keeping AI coding agents from burning money?" (Mar 2026): "measure cost / performance for agents on individual repos"</t>
        </is>
      </c>
    </row>
    <row r="577">
      <c r="A577" s="11" t="n">
        <v>576</v>
      </c>
      <c r="B577" s="12" t="inlineStr">
        <is>
          <t>ai agent retry loop cost</t>
        </is>
      </c>
      <c r="C577" s="11" t="inlineStr">
        <is>
          <t>SEO</t>
        </is>
      </c>
      <c r="D577" s="12" t="inlineStr">
        <is>
          <t>Reddit / Hacker News</t>
        </is>
      </c>
      <c r="E577" s="12" t="inlineStr">
        <is>
          <t>Cost</t>
        </is>
      </c>
      <c r="F577" s="13" t="n"/>
      <c r="G577" s="13" t="n"/>
      <c r="H577" s="14" t="n"/>
      <c r="I577" s="12" t="inlineStr">
        <is>
          <t>Informational</t>
        </is>
      </c>
      <c r="J577" s="15" t="n">
        <v>3</v>
      </c>
      <c r="K577" s="16">
        <f>IF(I577="","",IF(I577="Transactional",3,IF(I577="Commercial",2,1)))</f>
        <v/>
      </c>
      <c r="L577" s="16">
        <f>IF(G577="","",IF(G577&lt;=20,3,IF(G577&lt;=50,2,1)))</f>
        <v/>
      </c>
      <c r="M577" s="16">
        <f>IF(OR(J577="",K577="",L577=""),"",J577+K577+L577)</f>
        <v/>
      </c>
      <c r="N577" s="11" t="inlineStr">
        <is>
          <t>Main</t>
        </is>
      </c>
      <c r="O577" s="12" t="inlineStr">
        <is>
          <t>/blog/ai-retry-loops</t>
        </is>
      </c>
      <c r="P577" s="12" t="inlineStr">
        <is>
          <t>Blog</t>
        </is>
      </c>
      <c r="Q577" s="14" t="n"/>
      <c r="R577" s="14" t="n"/>
      <c r="S577" s="14" t="n"/>
      <c r="T577" s="12" t="inlineStr">
        <is>
          <t>Not started</t>
        </is>
      </c>
      <c r="U577" s="12" t="inlineStr">
        <is>
          <t>HN "Ask HN: How are you keeping AI coding agents from burning money?" (Mar 2026): "agents retry more than they should"; matches Kite Pulse failed-command / retry insight</t>
        </is>
      </c>
    </row>
    <row r="578">
      <c r="A578" s="11" t="n">
        <v>577</v>
      </c>
      <c r="B578" s="12" t="inlineStr">
        <is>
          <t>spend caps for ai coding agents</t>
        </is>
      </c>
      <c r="C578" s="11" t="inlineStr">
        <is>
          <t>SEO</t>
        </is>
      </c>
      <c r="D578" s="12" t="inlineStr">
        <is>
          <t>Reddit / Hacker News</t>
        </is>
      </c>
      <c r="E578" s="12" t="inlineStr">
        <is>
          <t>Cost</t>
        </is>
      </c>
      <c r="F578" s="13" t="n"/>
      <c r="G578" s="13" t="n"/>
      <c r="H578" s="14" t="n"/>
      <c r="I578" s="12" t="inlineStr">
        <is>
          <t>Commercial</t>
        </is>
      </c>
      <c r="J578" s="15" t="n">
        <v>2</v>
      </c>
      <c r="K578" s="16">
        <f>IF(I578="","",IF(I578="Transactional",3,IF(I578="Commercial",2,1)))</f>
        <v/>
      </c>
      <c r="L578" s="16">
        <f>IF(G578="","",IF(G578&lt;=20,3,IF(G578&lt;=50,2,1)))</f>
        <v/>
      </c>
      <c r="M578" s="16">
        <f>IF(OR(J578="",K578="",L578=""),"",J578+K578+L578)</f>
        <v/>
      </c>
      <c r="N578" s="11" t="inlineStr">
        <is>
          <t>Secondary</t>
        </is>
      </c>
      <c r="O578" s="12" t="inlineStr">
        <is>
          <t>/blog/reduce-ai-coding-costs</t>
        </is>
      </c>
      <c r="P578" s="12" t="inlineStr">
        <is>
          <t>Blog</t>
        </is>
      </c>
      <c r="Q578" s="14" t="n"/>
      <c r="R578" s="14" t="n"/>
      <c r="S578" s="14" t="n"/>
      <c r="T578" s="12" t="inlineStr">
        <is>
          <t>Not started</t>
        </is>
      </c>
      <c r="U578" s="12" t="inlineStr">
        <is>
          <t>HN comments ask for "spend caps, a kill switch". Kite Pulse observes, does not enforce caps</t>
        </is>
      </c>
    </row>
    <row r="579">
      <c r="A579" s="11" t="n">
        <v>578</v>
      </c>
      <c r="B579" s="12" t="inlineStr">
        <is>
          <t>copilot per user usage</t>
        </is>
      </c>
      <c r="C579" s="11" t="inlineStr">
        <is>
          <t>SEO</t>
        </is>
      </c>
      <c r="D579" s="12" t="inlineStr">
        <is>
          <t>Reddit / Hacker News</t>
        </is>
      </c>
      <c r="E579" s="12" t="inlineStr">
        <is>
          <t>Tool: GitHub Copilot</t>
        </is>
      </c>
      <c r="F579" s="13" t="n"/>
      <c r="G579" s="13" t="n"/>
      <c r="H579" s="14" t="n"/>
      <c r="I579" s="12" t="inlineStr">
        <is>
          <t>Commercial</t>
        </is>
      </c>
      <c r="J579" s="15" t="n">
        <v>3</v>
      </c>
      <c r="K579" s="16">
        <f>IF(I579="","",IF(I579="Transactional",3,IF(I579="Commercial",2,1)))</f>
        <v/>
      </c>
      <c r="L579" s="16">
        <f>IF(G579="","",IF(G579&lt;=20,3,IF(G579&lt;=50,2,1)))</f>
        <v/>
      </c>
      <c r="M579" s="16">
        <f>IF(OR(J579="",K579="",L579=""),"",J579+K579+L579)</f>
        <v/>
      </c>
      <c r="N579" s="11" t="inlineStr">
        <is>
          <t>Secondary</t>
        </is>
      </c>
      <c r="O579" s="12" t="inlineStr">
        <is>
          <t>/integrations/github-copilot</t>
        </is>
      </c>
      <c r="P579" s="12" t="inlineStr">
        <is>
          <t>Integration</t>
        </is>
      </c>
      <c r="Q579" s="14" t="n"/>
      <c r="R579" s="14" t="n"/>
      <c r="S579" s="14" t="n"/>
      <c r="T579" s="12" t="inlineStr">
        <is>
          <t>Not started</t>
        </is>
      </c>
      <c r="U579" s="12" t="inlineStr">
        <is>
          <t>HN "AI's Affordability Crisis" comment: Copilot "does not provide usage information to individual users if there is no per-user budget configured"</t>
        </is>
      </c>
    </row>
    <row r="580">
      <c r="A580" s="11" t="n">
        <v>579</v>
      </c>
      <c r="B580" s="12" t="inlineStr">
        <is>
          <t>copilot per user budget</t>
        </is>
      </c>
      <c r="C580" s="11" t="inlineStr">
        <is>
          <t>SEO</t>
        </is>
      </c>
      <c r="D580" s="12" t="inlineStr">
        <is>
          <t>Reddit / Hacker News</t>
        </is>
      </c>
      <c r="E580" s="12" t="inlineStr">
        <is>
          <t>Tool: GitHub Copilot</t>
        </is>
      </c>
      <c r="F580" s="13" t="n"/>
      <c r="G580" s="13" t="n"/>
      <c r="H580" s="14" t="n"/>
      <c r="I580" s="12" t="inlineStr">
        <is>
          <t>Commercial</t>
        </is>
      </c>
      <c r="J580" s="15" t="n">
        <v>2</v>
      </c>
      <c r="K580" s="16">
        <f>IF(I580="","",IF(I580="Transactional",3,IF(I580="Commercial",2,1)))</f>
        <v/>
      </c>
      <c r="L580" s="16">
        <f>IF(G580="","",IF(G580&lt;=20,3,IF(G580&lt;=50,2,1)))</f>
        <v/>
      </c>
      <c r="M580" s="16">
        <f>IF(OR(J580="",K580="",L580=""),"",J580+K580+L580)</f>
        <v/>
      </c>
      <c r="N580" s="11" t="inlineStr">
        <is>
          <t>Secondary</t>
        </is>
      </c>
      <c r="O580" s="12" t="inlineStr">
        <is>
          <t>/integrations/github-copilot</t>
        </is>
      </c>
      <c r="P580" s="12" t="inlineStr">
        <is>
          <t>Integration</t>
        </is>
      </c>
      <c r="Q580" s="14" t="n"/>
      <c r="R580" s="14" t="n"/>
      <c r="S580" s="14" t="n"/>
      <c r="T580" s="12" t="inlineStr">
        <is>
          <t>Not started</t>
        </is>
      </c>
      <c r="U580" s="12" t="inlineStr">
        <is>
          <t>Same HN comment: costs only seen "when IT got the bill"</t>
        </is>
      </c>
    </row>
    <row r="581">
      <c r="A581" s="11" t="n">
        <v>580</v>
      </c>
      <c r="B581" s="12" t="inlineStr">
        <is>
          <t>companies rationing ai coding tools</t>
        </is>
      </c>
      <c r="C581" s="11" t="inlineStr">
        <is>
          <t>SEO</t>
        </is>
      </c>
      <c r="D581" s="12" t="inlineStr">
        <is>
          <t>Reddit / Hacker News</t>
        </is>
      </c>
      <c r="E581" s="12" t="inlineStr">
        <is>
          <t>Cost</t>
        </is>
      </c>
      <c r="F581" s="13" t="n"/>
      <c r="G581" s="13" t="n"/>
      <c r="H581" s="14" t="n"/>
      <c r="I581" s="12" t="inlineStr">
        <is>
          <t>Informational</t>
        </is>
      </c>
      <c r="J581" s="15" t="n">
        <v>2</v>
      </c>
      <c r="K581" s="16">
        <f>IF(I581="","",IF(I581="Transactional",3,IF(I581="Commercial",2,1)))</f>
        <v/>
      </c>
      <c r="L581" s="16">
        <f>IF(G581="","",IF(G581&lt;=20,3,IF(G581&lt;=50,2,1)))</f>
        <v/>
      </c>
      <c r="M581" s="16">
        <f>IF(OR(J581="",K581="",L581=""),"",J581+K581+L581)</f>
        <v/>
      </c>
      <c r="N581" s="11" t="inlineStr">
        <is>
          <t>Secondary</t>
        </is>
      </c>
      <c r="O581" s="12" t="inlineStr">
        <is>
          <t>/blog/ai-coding-roi</t>
        </is>
      </c>
      <c r="P581" s="12" t="inlineStr">
        <is>
          <t>Interactive guide</t>
        </is>
      </c>
      <c r="Q581" s="14" t="n"/>
      <c r="R581" s="14" t="n"/>
      <c r="S581" s="14" t="n"/>
      <c r="T581" s="12" t="inlineStr">
        <is>
          <t>Not started</t>
        </is>
      </c>
      <c r="U581" s="12" t="inlineStr">
        <is>
          <t>From title of HN "Corporate America Is Starting to Ration AI as Cost Skyrockets" (188 pts, 179 comments)</t>
        </is>
      </c>
    </row>
    <row r="582">
      <c r="A582" s="11" t="n">
        <v>581</v>
      </c>
      <c r="B582" s="12" t="inlineStr">
        <is>
          <t>tokenmaxxing</t>
        </is>
      </c>
      <c r="C582" s="11" t="inlineStr">
        <is>
          <t>SEO</t>
        </is>
      </c>
      <c r="D582" s="12" t="inlineStr">
        <is>
          <t>Reddit / Hacker News</t>
        </is>
      </c>
      <c r="E582" s="12" t="inlineStr">
        <is>
          <t>Concepts</t>
        </is>
      </c>
      <c r="F582" s="13" t="n"/>
      <c r="G582" s="13" t="n"/>
      <c r="H582" s="14" t="n"/>
      <c r="I582" s="12" t="inlineStr">
        <is>
          <t>Informational</t>
        </is>
      </c>
      <c r="J582" s="15" t="n">
        <v>2</v>
      </c>
      <c r="K582" s="16">
        <f>IF(I582="","",IF(I582="Transactional",3,IF(I582="Commercial",2,1)))</f>
        <v/>
      </c>
      <c r="L582" s="16">
        <f>IF(G582="","",IF(G582&lt;=20,3,IF(G582&lt;=50,2,1)))</f>
        <v/>
      </c>
      <c r="M582" s="16">
        <f>IF(OR(J582="",K582="",L582=""),"",J582+K582+L582)</f>
        <v/>
      </c>
      <c r="N582" s="11" t="inlineStr">
        <is>
          <t>Main</t>
        </is>
      </c>
      <c r="O582" s="12" t="inlineStr">
        <is>
          <t>/blog/measure-developer-productivity-ai</t>
        </is>
      </c>
      <c r="P582" s="12" t="inlineStr">
        <is>
          <t>Interactive guide</t>
        </is>
      </c>
      <c r="Q582" s="14" t="n"/>
      <c r="R582" s="14" t="n"/>
      <c r="S582" s="14" t="n"/>
      <c r="T582" s="12" t="inlineStr">
        <is>
          <t>Not started</t>
        </is>
      </c>
      <c r="U582" s="12" t="inlineStr">
        <is>
          <t>HN "Corporate America Is Starting to Ration AI as Cost Skyrockets" (188 pts, 179 comments) + "Uber's COO says it's getting harder to justify money spent on tokenmaxxing". New 2026 term</t>
        </is>
      </c>
    </row>
    <row r="583">
      <c r="A583" s="11" t="n">
        <v>582</v>
      </c>
      <c r="B583" s="12" t="inlineStr">
        <is>
          <t>what is tokenmaxxing</t>
        </is>
      </c>
      <c r="C583" s="11" t="inlineStr">
        <is>
          <t>AEO</t>
        </is>
      </c>
      <c r="D583" s="12" t="inlineStr">
        <is>
          <t>Reddit / Hacker News</t>
        </is>
      </c>
      <c r="E583" s="12" t="inlineStr">
        <is>
          <t>Concepts</t>
        </is>
      </c>
      <c r="F583" s="13" t="n"/>
      <c r="G583" s="13" t="n"/>
      <c r="H583" s="14" t="n"/>
      <c r="I583" s="12" t="inlineStr">
        <is>
          <t>Informational</t>
        </is>
      </c>
      <c r="J583" s="15" t="n">
        <v>2</v>
      </c>
      <c r="K583" s="16">
        <f>IF(I583="","",IF(I583="Transactional",3,IF(I583="Commercial",2,1)))</f>
        <v/>
      </c>
      <c r="L583" s="16">
        <f>IF(G583="","",IF(G583&lt;=20,3,IF(G583&lt;=50,2,1)))</f>
        <v/>
      </c>
      <c r="M583" s="16">
        <f>IF(OR(J583="",K583="",L583=""),"",J583+K583+L583)</f>
        <v/>
      </c>
      <c r="N583" s="11" t="inlineStr">
        <is>
          <t>FAQ</t>
        </is>
      </c>
      <c r="O583" s="12" t="inlineStr">
        <is>
          <t>/blog/measure-developer-productivity-ai</t>
        </is>
      </c>
      <c r="P583" s="12" t="inlineStr">
        <is>
          <t>Interactive guide</t>
        </is>
      </c>
      <c r="Q583" s="14" t="n"/>
      <c r="R583" s="14" t="n"/>
      <c r="S583" s="14" t="n"/>
      <c r="T583" s="12" t="inlineStr">
        <is>
          <t>Not started</t>
        </is>
      </c>
      <c r="U583" s="12" t="inlineStr">
        <is>
          <t>HN "Corporate America Is Starting to Ration AI as Cost Skyrockets" (188 pts, 179 comments)</t>
        </is>
      </c>
    </row>
    <row r="584">
      <c r="A584" s="11" t="n">
        <v>583</v>
      </c>
      <c r="B584" s="12" t="inlineStr">
        <is>
          <t>token usage leaderboard engineers</t>
        </is>
      </c>
      <c r="C584" s="11" t="inlineStr">
        <is>
          <t>SEO</t>
        </is>
      </c>
      <c r="D584" s="12" t="inlineStr">
        <is>
          <t>Reddit / Hacker News</t>
        </is>
      </c>
      <c r="E584" s="12" t="inlineStr">
        <is>
          <t>Engineering Intelligence</t>
        </is>
      </c>
      <c r="F584" s="13" t="n"/>
      <c r="G584" s="13" t="n"/>
      <c r="H584" s="14" t="n"/>
      <c r="I584" s="12" t="inlineStr">
        <is>
          <t>Informational</t>
        </is>
      </c>
      <c r="J584" s="15" t="n">
        <v>2</v>
      </c>
      <c r="K584" s="16">
        <f>IF(I584="","",IF(I584="Transactional",3,IF(I584="Commercial",2,1)))</f>
        <v/>
      </c>
      <c r="L584" s="16">
        <f>IF(G584="","",IF(G584&lt;=20,3,IF(G584&lt;=50,2,1)))</f>
        <v/>
      </c>
      <c r="M584" s="16">
        <f>IF(OR(J584="",K584="",L584=""),"",J584+K584+L584)</f>
        <v/>
      </c>
      <c r="N584" s="11" t="inlineStr">
        <is>
          <t>Secondary</t>
        </is>
      </c>
      <c r="O584" s="12" t="inlineStr">
        <is>
          <t>/blog/measure-developer-productivity-ai</t>
        </is>
      </c>
      <c r="P584" s="12" t="inlineStr">
        <is>
          <t>Interactive guide</t>
        </is>
      </c>
      <c r="Q584" s="14" t="n"/>
      <c r="R584" s="14" t="n"/>
      <c r="S584" s="14" t="n"/>
      <c r="T584" s="12" t="inlineStr">
        <is>
          <t>Not started</t>
        </is>
      </c>
      <c r="U584" s="12" t="inlineStr">
        <is>
          <t>HN "Corporate America Is Starting to Ration AI as Cost Skyrockets" (188 pts, 179 comments): "systems where employees who burn the most tokens ($) per week 'win' is crazy". Angle: why leaderboards backfire</t>
        </is>
      </c>
    </row>
    <row r="585">
      <c r="A585" s="11" t="n">
        <v>584</v>
      </c>
      <c r="B585" s="12" t="inlineStr">
        <is>
          <t>ai coding roi metrics vs usage metrics</t>
        </is>
      </c>
      <c r="C585" s="11" t="inlineStr">
        <is>
          <t>SEO</t>
        </is>
      </c>
      <c r="D585" s="12" t="inlineStr">
        <is>
          <t>Reddit / Hacker News</t>
        </is>
      </c>
      <c r="E585" s="12" t="inlineStr">
        <is>
          <t>Engineering Intelligence</t>
        </is>
      </c>
      <c r="F585" s="13" t="n"/>
      <c r="G585" s="13" t="n"/>
      <c r="H585" s="14" t="n"/>
      <c r="I585" s="12" t="inlineStr">
        <is>
          <t>Informational</t>
        </is>
      </c>
      <c r="J585" s="15" t="n">
        <v>3</v>
      </c>
      <c r="K585" s="16">
        <f>IF(I585="","",IF(I585="Transactional",3,IF(I585="Commercial",2,1)))</f>
        <v/>
      </c>
      <c r="L585" s="16">
        <f>IF(G585="","",IF(G585&lt;=20,3,IF(G585&lt;=50,2,1)))</f>
        <v/>
      </c>
      <c r="M585" s="16">
        <f>IF(OR(J585="",K585="",L585=""),"",J585+K585+L585)</f>
        <v/>
      </c>
      <c r="N585" s="11" t="inlineStr">
        <is>
          <t>Secondary</t>
        </is>
      </c>
      <c r="O585" s="12" t="inlineStr">
        <is>
          <t>/blog/ai-coding-roi</t>
        </is>
      </c>
      <c r="P585" s="12" t="inlineStr">
        <is>
          <t>Interactive guide</t>
        </is>
      </c>
      <c r="Q585" s="14" t="n"/>
      <c r="R585" s="14" t="n"/>
      <c r="S585" s="14" t="n"/>
      <c r="T585" s="12" t="inlineStr">
        <is>
          <t>Not started</t>
        </is>
      </c>
      <c r="U585" s="12" t="inlineStr">
        <is>
          <t>HN "Corporate America Is Starting to Ration AI as Cost Skyrockets" (188 pts, 179 comments): "they thought they had ROI metrics, but they actually only had usage metrics"</t>
        </is>
      </c>
    </row>
    <row r="586">
      <c r="A586" s="11" t="n">
        <v>585</v>
      </c>
      <c r="B586" s="12" t="inlineStr">
        <is>
          <t>how to justify ai coding tool spend</t>
        </is>
      </c>
      <c r="C586" s="11" t="inlineStr">
        <is>
          <t>AEO</t>
        </is>
      </c>
      <c r="D586" s="12" t="inlineStr">
        <is>
          <t>Reddit / Hacker News</t>
        </is>
      </c>
      <c r="E586" s="12" t="inlineStr">
        <is>
          <t>Cost</t>
        </is>
      </c>
      <c r="F586" s="13" t="n"/>
      <c r="G586" s="13" t="n"/>
      <c r="H586" s="14" t="n"/>
      <c r="I586" s="12" t="inlineStr">
        <is>
          <t>Commercial</t>
        </is>
      </c>
      <c r="J586" s="15" t="n">
        <v>3</v>
      </c>
      <c r="K586" s="16">
        <f>IF(I586="","",IF(I586="Transactional",3,IF(I586="Commercial",2,1)))</f>
        <v/>
      </c>
      <c r="L586" s="16">
        <f>IF(G586="","",IF(G586&lt;=20,3,IF(G586&lt;=50,2,1)))</f>
        <v/>
      </c>
      <c r="M586" s="16">
        <f>IF(OR(J586="",K586="",L586=""),"",J586+K586+L586)</f>
        <v/>
      </c>
      <c r="N586" s="11" t="inlineStr">
        <is>
          <t>FAQ</t>
        </is>
      </c>
      <c r="O586" s="12" t="inlineStr">
        <is>
          <t>/blog/ai-coding-roi</t>
        </is>
      </c>
      <c r="P586" s="12" t="inlineStr">
        <is>
          <t>Interactive guide</t>
        </is>
      </c>
      <c r="Q586" s="14" t="n"/>
      <c r="R586" s="14" t="n"/>
      <c r="S586" s="14" t="n"/>
      <c r="T586" s="12" t="inlineStr">
        <is>
          <t>Not started</t>
        </is>
      </c>
      <c r="U586" s="12" t="inlineStr">
        <is>
          <t>HN "Uber's COO says it's getting harder to justify money spent on tokenmaxxing"</t>
        </is>
      </c>
    </row>
    <row r="587">
      <c r="A587" s="11" t="n">
        <v>586</v>
      </c>
      <c r="B587" s="12" t="inlineStr">
        <is>
          <t>ai coding power users cost per month</t>
        </is>
      </c>
      <c r="C587" s="11" t="inlineStr">
        <is>
          <t>SEO</t>
        </is>
      </c>
      <c r="D587" s="12" t="inlineStr">
        <is>
          <t>Reddit / Hacker News</t>
        </is>
      </c>
      <c r="E587" s="12" t="inlineStr">
        <is>
          <t>Cost</t>
        </is>
      </c>
      <c r="F587" s="13" t="n"/>
      <c r="G587" s="13" t="n"/>
      <c r="H587" s="14" t="n"/>
      <c r="I587" s="12" t="inlineStr">
        <is>
          <t>Informational</t>
        </is>
      </c>
      <c r="J587" s="15" t="n">
        <v>3</v>
      </c>
      <c r="K587" s="16">
        <f>IF(I587="","",IF(I587="Transactional",3,IF(I587="Commercial",2,1)))</f>
        <v/>
      </c>
      <c r="L587" s="16">
        <f>IF(G587="","",IF(G587&lt;=20,3,IF(G587&lt;=50,2,1)))</f>
        <v/>
      </c>
      <c r="M587" s="16">
        <f>IF(OR(J587="",K587="",L587=""),"",J587+K587+L587)</f>
        <v/>
      </c>
      <c r="N587" s="11" t="inlineStr">
        <is>
          <t>Secondary</t>
        </is>
      </c>
      <c r="O587" s="12" t="inlineStr">
        <is>
          <t>/ai-cost-tracking</t>
        </is>
      </c>
      <c r="P587" s="12" t="inlineStr">
        <is>
          <t>Interactive guide</t>
        </is>
      </c>
      <c r="Q587" s="14" t="n"/>
      <c r="R587" s="14" t="n"/>
      <c r="S587" s="14" t="n"/>
      <c r="T587" s="12" t="inlineStr">
        <is>
          <t>Not started</t>
        </is>
      </c>
      <c r="U587" s="12" t="inlineStr">
        <is>
          <t>HN comment: "Monthly cost per engineer ranged from $150 to $250 on average, with power users running between $500 and $2,000."</t>
        </is>
      </c>
    </row>
    <row r="588">
      <c r="A588" s="11" t="n">
        <v>587</v>
      </c>
      <c r="B588" s="12" t="inlineStr">
        <is>
          <t>claude team third party harness billing</t>
        </is>
      </c>
      <c r="C588" s="11" t="inlineStr">
        <is>
          <t>SEO</t>
        </is>
      </c>
      <c r="D588" s="12" t="inlineStr">
        <is>
          <t>Reddit / Hacker News</t>
        </is>
      </c>
      <c r="E588" s="12" t="inlineStr">
        <is>
          <t>Limits</t>
        </is>
      </c>
      <c r="F588" s="13" t="n"/>
      <c r="G588" s="13" t="n"/>
      <c r="H588" s="14" t="n"/>
      <c r="I588" s="12" t="inlineStr">
        <is>
          <t>Informational</t>
        </is>
      </c>
      <c r="J588" s="15" t="n">
        <v>1</v>
      </c>
      <c r="K588" s="16">
        <f>IF(I588="","",IF(I588="Transactional",3,IF(I588="Commercial",2,1)))</f>
        <v/>
      </c>
      <c r="L588" s="16">
        <f>IF(G588="","",IF(G588&lt;=20,3,IF(G588&lt;=50,2,1)))</f>
        <v/>
      </c>
      <c r="M588" s="16">
        <f>IF(OR(J588="",K588="",L588=""),"",J588+K588+L588)</f>
        <v/>
      </c>
      <c r="N588" s="11" t="inlineStr">
        <is>
          <t>Secondary</t>
        </is>
      </c>
      <c r="O588" s="12" t="inlineStr">
        <is>
          <t>/claude-code-usage-limits</t>
        </is>
      </c>
      <c r="P588" s="12" t="inlineStr">
        <is>
          <t>Interactive guide</t>
        </is>
      </c>
      <c r="Q588" s="14" t="n"/>
      <c r="R588" s="14" t="n"/>
      <c r="S588" s="14" t="n"/>
      <c r="T588" s="12" t="inlineStr">
        <is>
          <t>Not started</t>
        </is>
      </c>
      <c r="U588" s="12" t="inlineStr">
        <is>
          <t>HN "Ask HN: Anthropic changing billing for third-party harnesses for Teams Accounts?" (Apr 2026)</t>
        </is>
      </c>
    </row>
    <row r="589">
      <c r="A589" s="11" t="n">
        <v>588</v>
      </c>
      <c r="B589" s="12" t="inlineStr">
        <is>
          <t>developer productivity insight platform</t>
        </is>
      </c>
      <c r="C589" s="11" t="inlineStr">
        <is>
          <t>SEO</t>
        </is>
      </c>
      <c r="D589" s="12" t="inlineStr">
        <is>
          <t>Google SERP: Gartner category name</t>
        </is>
      </c>
      <c r="E589" s="12" t="inlineStr">
        <is>
          <t>Engineering Intelligence</t>
        </is>
      </c>
      <c r="F589" s="13" t="n"/>
      <c r="G589" s="13" t="n"/>
      <c r="H589" s="14" t="n"/>
      <c r="I589" s="12" t="inlineStr">
        <is>
          <t>Commercial</t>
        </is>
      </c>
      <c r="J589" s="15" t="n">
        <v>2</v>
      </c>
      <c r="K589" s="16">
        <f>IF(I589="","",IF(I589="Transactional",3,IF(I589="Commercial",2,1)))</f>
        <v/>
      </c>
      <c r="L589" s="16">
        <f>IF(G589="","",IF(G589&lt;=20,3,IF(G589&lt;=50,2,1)))</f>
        <v/>
      </c>
      <c r="M589" s="16">
        <f>IF(OR(J589="",K589="",L589=""),"",J589+K589+L589)</f>
        <v/>
      </c>
      <c r="N589" s="11" t="inlineStr">
        <is>
          <t>Secondary</t>
        </is>
      </c>
      <c r="O589" s="12" t="inlineStr">
        <is>
          <t>/engineering-intelligence</t>
        </is>
      </c>
      <c r="P589" s="12" t="inlineStr">
        <is>
          <t>Solution</t>
        </is>
      </c>
      <c r="Q589" s="14" t="n"/>
      <c r="R589" s="14" t="n"/>
      <c r="S589" s="14" t="n"/>
      <c r="T589" s="12" t="inlineStr">
        <is>
          <t>Not started</t>
        </is>
      </c>
      <c r="U589" s="12" t="inlineStr">
        <is>
          <t>Gartner's name for the engineering intelligence market (Peer Insights category, ranks #4 for 'engineering intelligence platform', 20 Oct 2026). Use in a subheading and the short answer; buyers coming from Gartner use this term. Check volume</t>
        </is>
      </c>
    </row>
  </sheetData>
  <autoFilter ref="A1:U589"/>
  <conditionalFormatting sqref="M2:M138">
    <cfRule type="expression" priority="1" dxfId="0">
      <formula>AND(ISNUMBER(M2),M2&gt;=8)</formula>
    </cfRule>
    <cfRule type="expression" priority="2" dxfId="1">
      <formula>AND(ISNUMBER(M2),M2&gt;=6,M2&lt;8)</formula>
    </cfRule>
    <cfRule type="expression" priority="3" dxfId="2">
      <formula>AND(ISNUMBER(M2),M2&lt;6)</formula>
    </cfRule>
  </conditionalFormatting>
  <conditionalFormatting sqref="M139:M289">
    <cfRule type="expression" priority="4" dxfId="0">
      <formula>AND(ISNUMBER(M139),M139&gt;=8)</formula>
    </cfRule>
    <cfRule type="expression" priority="5" dxfId="1">
      <formula>AND(ISNUMBER(M139),M139&gt;=6,M139&lt;8)</formula>
    </cfRule>
    <cfRule type="expression" priority="6" dxfId="2">
      <formula>AND(ISNUMBER(M139),M139&lt;6)</formula>
    </cfRule>
  </conditionalFormatting>
  <conditionalFormatting sqref="M290:M329">
    <cfRule type="expression" priority="7" dxfId="0">
      <formula>AND(ISNUMBER(M290),M290&gt;=8)</formula>
    </cfRule>
    <cfRule type="expression" priority="8" dxfId="1">
      <formula>AND(ISNUMBER(M290),M290&gt;=6,M290&lt;8)</formula>
    </cfRule>
    <cfRule type="expression" priority="9" dxfId="2">
      <formula>AND(ISNUMBER(M290),M290&lt;6)</formula>
    </cfRule>
  </conditionalFormatting>
  <conditionalFormatting sqref="M330:M430">
    <cfRule type="expression" priority="10" dxfId="0">
      <formula>AND(ISNUMBER(M330),M330&gt;=8)</formula>
    </cfRule>
    <cfRule type="expression" priority="11" dxfId="1">
      <formula>AND(ISNUMBER(M330),M330&gt;=6,M330&lt;8)</formula>
    </cfRule>
    <cfRule type="expression" priority="12" dxfId="2">
      <formula>AND(ISNUMBER(M330),M330&lt;6)</formula>
    </cfRule>
  </conditionalFormatting>
  <conditionalFormatting sqref="M431:M470">
    <cfRule type="expression" priority="13" dxfId="0">
      <formula>AND(ISNUMBER(M431),M431&gt;=8)</formula>
    </cfRule>
    <cfRule type="expression" priority="14" dxfId="1">
      <formula>AND(ISNUMBER(M431),M431&gt;=6,M431&lt;8)</formula>
    </cfRule>
    <cfRule type="expression" priority="15" dxfId="2">
      <formula>AND(ISNUMBER(M431),M431&lt;6)</formula>
    </cfRule>
  </conditionalFormatting>
  <conditionalFormatting sqref="M471:M500">
    <cfRule type="expression" priority="16" dxfId="0">
      <formula>AND(ISNUMBER(M471),M471&gt;=8)</formula>
    </cfRule>
    <cfRule type="expression" priority="17" dxfId="1">
      <formula>AND(ISNUMBER(M471),M471&gt;=6,M471&lt;8)</formula>
    </cfRule>
    <cfRule type="expression" priority="18" dxfId="2">
      <formula>AND(ISNUMBER(M471),M471&lt;6)</formula>
    </cfRule>
  </conditionalFormatting>
  <conditionalFormatting sqref="M501:M542">
    <cfRule type="expression" priority="19" dxfId="0">
      <formula>AND(ISNUMBER(M501),M501&gt;=8)</formula>
    </cfRule>
    <cfRule type="expression" priority="20" dxfId="1">
      <formula>AND(ISNUMBER(M501),M501&gt;=6,M501&lt;8)</formula>
    </cfRule>
    <cfRule type="expression" priority="21" dxfId="2">
      <formula>AND(ISNUMBER(M501),M501&lt;6)</formula>
    </cfRule>
  </conditionalFormatting>
  <conditionalFormatting sqref="M543:M559">
    <cfRule type="expression" priority="22" dxfId="0">
      <formula>AND(ISNUMBER(M543),M543&gt;=8)</formula>
    </cfRule>
    <cfRule type="expression" priority="23" dxfId="1">
      <formula>AND(ISNUMBER(M543),M543&gt;=6,M543&lt;8)</formula>
    </cfRule>
    <cfRule type="expression" priority="24" dxfId="2">
      <formula>AND(ISNUMBER(M543),M543&lt;6)</formula>
    </cfRule>
  </conditionalFormatting>
  <conditionalFormatting sqref="M560:M589">
    <cfRule type="expression" priority="22" dxfId="0">
      <formula>AND(ISNUMBER(M543),M543&gt;=8)</formula>
    </cfRule>
    <cfRule type="expression" priority="23" dxfId="1">
      <formula>AND(ISNUMBER(M543),M543&gt;=6,M543&lt;8)</formula>
    </cfRule>
    <cfRule type="expression" priority="24" dxfId="2">
      <formula>AND(ISNUMBER(M543),M543&lt;6)</formula>
    </cfRule>
  </conditionalFormatting>
  <dataValidations count="7">
    <dataValidation sqref="C2:C500 C501:C589" showDropDown="0" showInputMessage="0" showErrorMessage="0" allowBlank="1" type="list">
      <formula1>"SEO,AEO"</formula1>
    </dataValidation>
    <dataValidation sqref="H2:H500 H501:H589" showDropDown="0" showInputMessage="0" showErrorMessage="0" allowBlank="1" type="list">
      <formula1>"Rising,Stable,Falling"</formula1>
    </dataValidation>
    <dataValidation sqref="I2:I500 I501:I589" showDropDown="0" showInputMessage="0" showErrorMessage="0" allowBlank="1" type="list">
      <formula1>"Informational,Commercial,Transactional,Navigational"</formula1>
    </dataValidation>
    <dataValidation sqref="J2:J500 J501:J589" showDropDown="0" showInputMessage="0" showErrorMessage="0" allowBlank="1" type="list">
      <formula1>"1,2,3"</formula1>
    </dataValidation>
    <dataValidation sqref="N2:N500 N501:N589" showDropDown="0" showInputMessage="0" showErrorMessage="0" allowBlank="1" type="list">
      <formula1>"Main,Secondary,FAQ"</formula1>
    </dataValidation>
    <dataValidation sqref="P2:P500 P501:P589" showDropDown="0" showInputMessage="0" showErrorMessage="0" allowBlank="1" type="list">
      <formula1>"Home,Feature,Integration,Solution,Compare,Blog,FAQ,Trust,Docs,Interactive guide,Interactive tool"</formula1>
    </dataValidation>
    <dataValidation sqref="T2:T500 T501:T589" showDropDown="0" showInputMessage="0" showErrorMessage="0" allowBlank="1" type="list">
      <formula1>"Not started,Writing,Published,Updating,Dropped"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4" customWidth="1" min="1" max="1"/>
    <col width="12" customWidth="1" min="2" max="2"/>
    <col width="40" customWidth="1" min="3" max="3"/>
    <col width="12" customWidth="1" min="4" max="4"/>
    <col width="12" customWidth="1" min="5" max="5"/>
    <col width="12" customWidth="1" min="6" max="6"/>
    <col width="13" customWidth="1" min="7" max="7"/>
    <col width="13" customWidth="1" min="8" max="8"/>
    <col width="40" customWidth="1" min="9" max="9"/>
  </cols>
  <sheetData>
    <row r="1" ht="34" customHeight="1">
      <c r="A1" s="8" t="inlineStr">
        <is>
          <t>Page URL</t>
        </is>
      </c>
      <c r="B1" s="8" t="inlineStr">
        <is>
          <t>Page Type</t>
        </is>
      </c>
      <c r="C1" s="8" t="inlineStr">
        <is>
          <t>Main Keyword</t>
        </is>
      </c>
      <c r="D1" s="8" t="inlineStr">
        <is>
          <t>No. of Keywords</t>
        </is>
      </c>
      <c r="E1" s="8" t="inlineStr">
        <is>
          <t>No. of AEO Questions</t>
        </is>
      </c>
      <c r="F1" s="8" t="inlineStr">
        <is>
          <t>Priority (P1/P2/P3)</t>
        </is>
      </c>
      <c r="G1" s="8" t="inlineStr">
        <is>
          <t>Status</t>
        </is>
      </c>
      <c r="H1" s="8" t="inlineStr">
        <is>
          <t>Publish Date</t>
        </is>
      </c>
      <c r="I1" s="8" t="inlineStr">
        <is>
          <t>Notes</t>
        </is>
      </c>
    </row>
    <row r="2">
      <c r="A2" s="12" t="inlineStr">
        <is>
          <t>/</t>
        </is>
      </c>
      <c r="B2" s="12" t="inlineStr">
        <is>
          <t>Home</t>
        </is>
      </c>
      <c r="C2" s="12" t="inlineStr">
        <is>
          <t>ai coding analytics</t>
        </is>
      </c>
      <c r="D2" s="16">
        <f>COUNTIFS(Keywords!$O:$O,A2,Keywords!$C:$C,"SEO")</f>
        <v/>
      </c>
      <c r="E2" s="16">
        <f>COUNTIFS(Keywords!$O:$O,A2,Keywords!$C:$C,"AEO")</f>
        <v/>
      </c>
      <c r="F2" s="11" t="inlineStr">
        <is>
          <t>P1</t>
        </is>
      </c>
      <c r="G2" s="12" t="inlineStr">
        <is>
          <t>Not started</t>
        </is>
      </c>
      <c r="H2" s="18" t="n"/>
      <c r="I2" s="12" t="inlineStr">
        <is>
          <t>Main keyword 'ai coding analytics' (Google checked 20 Oct 2026): WakaTime's homepage ranks #1, so a product homepage is the right format here - no guide needed. Results are mixed (product page, a competitor's tools list, AI model benchmarks), so the category has no owner yet.
Make the homepage interactive with a live sample dashboard, not long text:
- Headline defines the term (team use of AI coding assistants, not model benchmarks).
- Clickable sample dashboard: usage per developer, cost per tool, plan-limit headroom, work patterns; filters by tool and project.
- 'What would you see?' picker: tools + team size update the sample dashboard.
- Short 'how it works' animation with the privacy story (secrets stripped, own server).
- Links to /ai-cost-tracking, /claude-code-usage-limits, /ai-coding-assistant-pricing, /blog/ai-coding-roi.
Also: pitch neutral review sites and newsletters to list Kite Pulse in 'best AI coding analytics tools' lists; build /compare pages (Competitors tab).</t>
        </is>
      </c>
    </row>
    <row r="3">
      <c r="A3" s="12" t="inlineStr">
        <is>
          <t>/ai-coding-analytics</t>
        </is>
      </c>
      <c r="B3" s="12" t="inlineStr">
        <is>
          <t>Solution</t>
        </is>
      </c>
      <c r="C3" s="12" t="inlineStr">
        <is>
          <t>TBD - needs new main keyword</t>
        </is>
      </c>
      <c r="D3" s="16">
        <f>COUNTIFS(Keywords!$O:$O,A3,Keywords!$C:$C,"SEO")</f>
        <v/>
      </c>
      <c r="E3" s="16">
        <f>COUNTIFS(Keywords!$O:$O,A3,Keywords!$C:$C,"AEO")</f>
        <v/>
      </c>
      <c r="F3" s="11" t="inlineStr">
        <is>
          <t>P2</t>
        </is>
      </c>
      <c r="G3" s="12" t="inlineStr">
        <is>
          <t>Not started</t>
        </is>
      </c>
      <c r="H3" s="18" t="n"/>
      <c r="I3" s="12" t="inlineStr">
        <is>
          <t>20 Oct 2026: 'ai coding assistant analytics' gave the same kind of results as the homepage keyword, so it moved to the homepage as Secondary. This page needs a new main keyword from its remaining cluster (team AI usage / adoption tracking), e.g. 'ai adoption tracking', 'track ai coding tool usage' or 'ai coding tool usage analytics'. Search the candidates on Google and pick the one whose results differ from the homepage's.</t>
        </is>
      </c>
    </row>
    <row r="4">
      <c r="A4" s="12" t="inlineStr">
        <is>
          <t>/engineering-intelligence</t>
        </is>
      </c>
      <c r="B4" s="12" t="inlineStr">
        <is>
          <t>Solution</t>
        </is>
      </c>
      <c r="C4" s="12" t="inlineStr">
        <is>
          <t>engineering intelligence platform</t>
        </is>
      </c>
      <c r="D4" s="16">
        <f>COUNTIFS(Keywords!$O:$O,A4,Keywords!$C:$C,"SEO")</f>
        <v/>
      </c>
      <c r="E4" s="16">
        <f>COUNTIFS(Keywords!$O:$O,A4,Keywords!$C:$C,"AEO")</f>
        <v/>
      </c>
      <c r="F4" s="11" t="inlineStr">
        <is>
          <t>P2</t>
        </is>
      </c>
      <c r="G4" s="12" t="inlineStr">
        <is>
          <t>Not started</t>
        </is>
      </c>
      <c r="H4" s="18" t="n"/>
      <c r="I4" s="12" t="inlineStr">
        <is>
          <t>Solution page that defines the category and helps buyers evaluate - not a blog (dated, outside product pages) and not a step-by-step guide (no method to teach). Google (20 Oct 2026) shows explainers and 'top platforms' lists (Cortex, Uplevel), a different meaning (Spread, hardware engineering) and Gartner Peer Insights ('Developer Productivity Insight Platforms'); no product homepage ranks.
Core message: the engineering intelligence platform built on AI coding sessions (the process), not commits, tickets and surveys (the outputs).
Interactive parts: short answer definition; 'outputs vs process' animation; 'Which platform fits us?' evaluator (questions + data sources -&gt; scored checklist, honest about when git/Jira tools fit better, e.g. DORA, cycle time); platform-type comparison table linking to /compare pages; clickable sample dashboard; FAQ from mapped AEO questions.
Off-page: list Kite Pulse on Gartner Peer Insights and collect reviews; pitch neutral 'top platforms' list writers. Secondary keyword added: 'developer productivity insight platform' (Gartner's term).</t>
        </is>
      </c>
    </row>
    <row r="5">
      <c r="A5" s="12" t="inlineStr">
        <is>
          <t>/blog/developer-experience-metrics</t>
        </is>
      </c>
      <c r="B5" s="12" t="inlineStr">
        <is>
          <t>Interactive guide</t>
        </is>
      </c>
      <c r="C5" s="12" t="inlineStr">
        <is>
          <t>developer experience metrics</t>
        </is>
      </c>
      <c r="D5" s="16">
        <f>COUNTIFS(Keywords!$O:$O,A5,Keywords!$C:$C,"SEO")</f>
        <v/>
      </c>
      <c r="E5" s="16">
        <f>COUNTIFS(Keywords!$O:$O,A5,Keywords!$C:$C,"AEO")</f>
        <v/>
      </c>
      <c r="F5" s="11" t="inlineStr">
        <is>
          <t>P3</t>
        </is>
      </c>
      <c r="G5" s="12" t="inlineStr">
        <is>
          <t>Not started</t>
        </is>
      </c>
      <c r="H5" s="18" t="n"/>
      <c r="I5" s="12" t="inlineStr">
        <is>
          <t>Interactive guide: searchers want to learn which metrics to use and how to measure them. Google (20 Oct 2026) shows only educational pages: vendor blogs (DX, Cortex, Port), a company handbook on GitHub (inDriver) and a glossary entry (mstone.ai); all text.
Core angle: DevEx metrics for the AI era - surveys measure how developers feel; Kite Pulse shows friction directly in retries, failures and long sessions, with no survey.
Interactive parts: short answer + definitions; framework explorer (SPACE, DevEx framework, DX Core 4); filterable metric library; 'Build your DevEx scorecard' (copyable); AI-era signals with session animation; 6-question team pulse check; FAQ.
URL stays in /blog: DevEx frameworks change slowly, unlike pricing and plan limits; review now and then. Priority stays P3: DX and Cortex are strong here and this page supports the main product pages.</t>
        </is>
      </c>
    </row>
    <row r="6">
      <c r="A6" s="12" t="inlineStr">
        <is>
          <t>/blog/measure-developer-productivity-ai</t>
        </is>
      </c>
      <c r="B6" s="12" t="inlineStr">
        <is>
          <t>Interactive guide</t>
        </is>
      </c>
      <c r="C6" s="12" t="inlineStr">
        <is>
          <t>measure developer productivity with ai</t>
        </is>
      </c>
      <c r="D6" s="16">
        <f>COUNTIFS(Keywords!$O:$O,A6,Keywords!$C:$C,"SEO")</f>
        <v/>
      </c>
      <c r="E6" s="16">
        <f>COUNTIFS(Keywords!$O:$O,A6,Keywords!$C:$C,"AEO")</f>
        <v/>
      </c>
      <c r="F6" s="11" t="inlineStr">
        <is>
          <t>P3</t>
        </is>
      </c>
      <c r="G6" s="12" t="inlineStr">
        <is>
          <t>Not started</t>
        </is>
      </c>
      <c r="H6" s="18" t="n"/>
      <c r="I6" s="12" t="inlineStr">
        <is>
          <t>Interactive guide: searchers want a proper method to measure AI's effect on productivity. Google (20 Oct 2026): DX 'AI measurement hub', a Reddit debate about a study (probably METR 2025) showing experienced developers were slower with AI, Axify and Uplevel blogs; all text.
Core angle: evidence over hype - output counts cannot show if AI helps; measure properly, including the process inside AI sessions.
Interactive parts: 'guess first' speed-up game with real research; 'good metric or vanity metric?' quiz; framework explorer (adoption, delivery, quality, experience); 'design a fair test' builder with copyable plan; AI-session animation (retries, abandoned approaches) where Kite Pulse comes in; FAQ.
Later: anonymised Kite Pulse data report (consent + privacy review first).
Separate jobs, cross-link: this page = is AI making us faster and better; /blog/ai-coding-roi = is it worth the money; /blog/developer-experience-metrics = how the work feels; /engineering-intelligence = which platform to buy. DX ranks for both this and the ROI keyword, so keep ROI about money.
URL stays in /blog; priority stays P3. Note: 'tokenmaxxing' rows also target this page as a second Main keyword - decide if it needs its own page.</t>
        </is>
      </c>
    </row>
    <row r="7">
      <c r="A7" s="12" t="inlineStr">
        <is>
          <t>/ai-cost-tracking</t>
        </is>
      </c>
      <c r="B7" s="12" t="inlineStr">
        <is>
          <t>Interactive guide</t>
        </is>
      </c>
      <c r="C7" s="12" t="inlineStr">
        <is>
          <t>ai coding cost tracking</t>
        </is>
      </c>
      <c r="D7" s="16">
        <f>COUNTIFS(Keywords!$O:$O,A7,Keywords!$C:$C,"SEO")</f>
        <v/>
      </c>
      <c r="E7" s="16">
        <f>COUNTIFS(Keywords!$O:$O,A7,Keywords!$C:$C,"AEO")</f>
        <v/>
      </c>
      <c r="F7" s="11" t="inlineStr">
        <is>
          <t>P2</t>
        </is>
      </c>
      <c r="G7" s="12" t="inlineStr">
        <is>
          <t>Not started</t>
        </is>
      </c>
      <c r="H7" s="18" t="n"/>
      <c r="I7" s="12" t="inlineStr">
        <is>
          <t>Interactive guide, not a sales page or text blog. Google shows how-to guides (Larridin, Faros AI). 9 hands-on steps: setup, tokens to dollars, cost estimate, tracking methods, split by project, waste quiz, billable view, generated plan. Prototype: https://claude.ai/artifact/MW9gPq11m5pA4ULoAoiBec. Link to pricing and ROI pages</t>
        </is>
      </c>
    </row>
    <row r="8">
      <c r="A8" s="12" t="inlineStr">
        <is>
          <t>/blog/ai-coding-roi</t>
        </is>
      </c>
      <c r="B8" s="12" t="inlineStr">
        <is>
          <t>Interactive guide</t>
        </is>
      </c>
      <c r="C8" s="12" t="inlineStr">
        <is>
          <t>measure roi of ai coding tools</t>
        </is>
      </c>
      <c r="D8" s="16">
        <f>COUNTIFS(Keywords!$O:$O,A8,Keywords!$C:$C,"SEO")</f>
        <v/>
      </c>
      <c r="E8" s="16">
        <f>COUNTIFS(Keywords!$O:$O,A8,Keywords!$C:$C,"AEO")</f>
        <v/>
      </c>
      <c r="F8" s="11" t="inlineStr">
        <is>
          <t>P3</t>
        </is>
      </c>
      <c r="G8" s="12" t="inlineStr">
        <is>
          <t>Not started</t>
        </is>
      </c>
      <c r="H8" s="18" t="n"/>
      <c r="I8" s="12" t="inlineStr">
        <is>
          <t>Interactive guide + ROI calculator. Google #1 is DX's ROI calculator; others are measurement frameworks (IBM, Jellyfish, Pensero). Put calculator inputs in the URL so results can be shared. Only claim measured cost and usage: Cost &amp; ROI page is switched off. Link to /ai-cost-tracking</t>
        </is>
      </c>
    </row>
    <row r="9">
      <c r="A9" s="12" t="inlineStr">
        <is>
          <t>/claude-code-usage-limits</t>
        </is>
      </c>
      <c r="B9" s="12" t="inlineStr">
        <is>
          <t>Interactive guide</t>
        </is>
      </c>
      <c r="C9" s="12" t="inlineStr">
        <is>
          <t>claude code usage limits</t>
        </is>
      </c>
      <c r="D9" s="16">
        <f>COUNTIFS(Keywords!$O:$O,A9,Keywords!$C:$C,"SEO")</f>
        <v/>
      </c>
      <c r="E9" s="16">
        <f>COUNTIFS(Keywords!$O:$O,A9,Keywords!$C:$C,"AEO")</f>
        <v/>
      </c>
      <c r="F9" s="11" t="inlineStr">
        <is>
          <t>P3</t>
        </is>
      </c>
      <c r="G9" s="12" t="inlineStr">
        <is>
          <t>Not started</t>
        </is>
      </c>
      <c r="H9" s="18" t="n"/>
      <c r="I9" s="12" t="inlineStr">
        <is>
          <t>Interactive guide, not a text blog; permanent URL outside /blog because limits change. Google shows the official support article, explainer blogs and a Reddit user story. Steps: short answer, pick your plan, how the reset window works, what uses your limit fastest, limit simulator, 'I hit my limit' decision tree, habits checklist, team view (link to /plan-headroom), FAQ. Keep plan rules in one data file with source link and 'checked' date; check monthly. No invented limit numbers</t>
        </is>
      </c>
    </row>
    <row r="10">
      <c r="A10" s="12" t="inlineStr">
        <is>
          <t>/plan-headroom</t>
        </is>
      </c>
      <c r="B10" s="12" t="inlineStr">
        <is>
          <t>Feature</t>
        </is>
      </c>
      <c r="C10" s="12" t="inlineStr">
        <is>
          <t>claude code rate limits team</t>
        </is>
      </c>
      <c r="D10" s="16">
        <f>COUNTIFS(Keywords!$O:$O,A10,Keywords!$C:$C,"SEO")</f>
        <v/>
      </c>
      <c r="E10" s="16">
        <f>COUNTIFS(Keywords!$O:$O,A10,Keywords!$C:$C,"AEO")</f>
        <v/>
      </c>
      <c r="F10" s="11" t="inlineStr">
        <is>
          <t>P2</t>
        </is>
      </c>
      <c r="G10" s="12" t="inlineStr">
        <is>
          <t>Not started</t>
        </is>
      </c>
      <c r="H10" s="18" t="n"/>
      <c r="I10" s="12" t="inlineStr"/>
    </row>
    <row r="11">
      <c r="A11" s="12" t="inlineStr">
        <is>
          <t>/shadow-ai</t>
        </is>
      </c>
      <c r="B11" s="12" t="inlineStr">
        <is>
          <t>Solution</t>
        </is>
      </c>
      <c r="C11" s="12" t="inlineStr">
        <is>
          <t>shadow ai coding tools</t>
        </is>
      </c>
      <c r="D11" s="16">
        <f>COUNTIFS(Keywords!$O:$O,A11,Keywords!$C:$C,"SEO")</f>
        <v/>
      </c>
      <c r="E11" s="16">
        <f>COUNTIFS(Keywords!$O:$O,A11,Keywords!$C:$C,"AEO")</f>
        <v/>
      </c>
      <c r="F11" s="11" t="inlineStr">
        <is>
          <t>P2</t>
        </is>
      </c>
      <c r="G11" s="12" t="inlineStr">
        <is>
          <t>Not started</t>
        </is>
      </c>
      <c r="H11" s="18" t="n"/>
      <c r="I11" s="12" t="inlineStr"/>
    </row>
    <row r="12">
      <c r="A12" s="12" t="inlineStr">
        <is>
          <t>/blog/secrets-in-ai-prompts</t>
        </is>
      </c>
      <c r="B12" s="12" t="inlineStr">
        <is>
          <t>Blog</t>
        </is>
      </c>
      <c r="C12" s="12" t="inlineStr">
        <is>
          <t>secrets in ai coding prompts</t>
        </is>
      </c>
      <c r="D12" s="16">
        <f>COUNTIFS(Keywords!$O:$O,A12,Keywords!$C:$C,"SEO")</f>
        <v/>
      </c>
      <c r="E12" s="16">
        <f>COUNTIFS(Keywords!$O:$O,A12,Keywords!$C:$C,"AEO")</f>
        <v/>
      </c>
      <c r="F12" s="11" t="inlineStr">
        <is>
          <t>P3</t>
        </is>
      </c>
      <c r="G12" s="12" t="inlineStr">
        <is>
          <t>Not started</t>
        </is>
      </c>
      <c r="H12" s="18" t="n"/>
      <c r="I12" s="12" t="inlineStr"/>
    </row>
    <row r="13">
      <c r="A13" s="12" t="inlineStr">
        <is>
          <t>/self-hosted</t>
        </is>
      </c>
      <c r="B13" s="12" t="inlineStr">
        <is>
          <t>Trust</t>
        </is>
      </c>
      <c r="C13" s="12" t="inlineStr">
        <is>
          <t>self-hosted developer analytics</t>
        </is>
      </c>
      <c r="D13" s="16">
        <f>COUNTIFS(Keywords!$O:$O,A13,Keywords!$C:$C,"SEO")</f>
        <v/>
      </c>
      <c r="E13" s="16">
        <f>COUNTIFS(Keywords!$O:$O,A13,Keywords!$C:$C,"AEO")</f>
        <v/>
      </c>
      <c r="F13" s="11" t="inlineStr">
        <is>
          <t>P1</t>
        </is>
      </c>
      <c r="G13" s="12" t="inlineStr">
        <is>
          <t>Not started</t>
        </is>
      </c>
      <c r="H13" s="18" t="n"/>
      <c r="I13" s="12" t="inlineStr"/>
    </row>
    <row r="14">
      <c r="A14" s="12" t="inlineStr">
        <is>
          <t>/privacy</t>
        </is>
      </c>
      <c r="B14" s="12" t="inlineStr">
        <is>
          <t>Trust</t>
        </is>
      </c>
      <c r="C14" s="12" t="inlineStr">
        <is>
          <t>privacy-first developer analytics</t>
        </is>
      </c>
      <c r="D14" s="16">
        <f>COUNTIFS(Keywords!$O:$O,A14,Keywords!$C:$C,"SEO")</f>
        <v/>
      </c>
      <c r="E14" s="16">
        <f>COUNTIFS(Keywords!$O:$O,A14,Keywords!$C:$C,"AEO")</f>
        <v/>
      </c>
      <c r="F14" s="11" t="inlineStr">
        <is>
          <t>P1</t>
        </is>
      </c>
      <c r="G14" s="12" t="inlineStr">
        <is>
          <t>Not started</t>
        </is>
      </c>
      <c r="H14" s="18" t="n"/>
      <c r="I14" s="12" t="inlineStr"/>
    </row>
    <row r="15">
      <c r="A15" s="12" t="inlineStr">
        <is>
          <t>/features</t>
        </is>
      </c>
      <c r="B15" s="12" t="inlineStr">
        <is>
          <t>Feature</t>
        </is>
      </c>
      <c r="C15" s="12" t="inlineStr">
        <is>
          <t>team activity dashboard</t>
        </is>
      </c>
      <c r="D15" s="16">
        <f>COUNTIFS(Keywords!$O:$O,A15,Keywords!$C:$C,"SEO")</f>
        <v/>
      </c>
      <c r="E15" s="16">
        <f>COUNTIFS(Keywords!$O:$O,A15,Keywords!$C:$C,"AEO")</f>
        <v/>
      </c>
      <c r="F15" s="11" t="inlineStr">
        <is>
          <t>P1</t>
        </is>
      </c>
      <c r="G15" s="12" t="inlineStr">
        <is>
          <t>Not started</t>
        </is>
      </c>
      <c r="H15" s="18" t="n"/>
      <c r="I15" s="12" t="inlineStr"/>
    </row>
    <row r="16">
      <c r="A16" s="12" t="inlineStr">
        <is>
          <t>/blog/engineering-burnout-signals</t>
        </is>
      </c>
      <c r="B16" s="12" t="inlineStr">
        <is>
          <t>Blog</t>
        </is>
      </c>
      <c r="C16" s="12" t="inlineStr">
        <is>
          <t>engineering burnout early warning</t>
        </is>
      </c>
      <c r="D16" s="16">
        <f>COUNTIFS(Keywords!$O:$O,A16,Keywords!$C:$C,"SEO")</f>
        <v/>
      </c>
      <c r="E16" s="16">
        <f>COUNTIFS(Keywords!$O:$O,A16,Keywords!$C:$C,"AEO")</f>
        <v/>
      </c>
      <c r="F16" s="11" t="inlineStr">
        <is>
          <t>P3</t>
        </is>
      </c>
      <c r="G16" s="12" t="inlineStr">
        <is>
          <t>Not started</t>
        </is>
      </c>
      <c r="H16" s="18" t="n"/>
      <c r="I16" s="12" t="inlineStr"/>
    </row>
    <row r="17">
      <c r="A17" s="12" t="inlineStr">
        <is>
          <t>/blog/ai-retry-loops</t>
        </is>
      </c>
      <c r="B17" s="12" t="inlineStr">
        <is>
          <t>Blog</t>
        </is>
      </c>
      <c r="C17" s="12" t="inlineStr">
        <is>
          <t>ai retry loops developers</t>
        </is>
      </c>
      <c r="D17" s="16">
        <f>COUNTIFS(Keywords!$O:$O,A17,Keywords!$C:$C,"SEO")</f>
        <v/>
      </c>
      <c r="E17" s="16">
        <f>COUNTIFS(Keywords!$O:$O,A17,Keywords!$C:$C,"AEO")</f>
        <v/>
      </c>
      <c r="F17" s="11" t="inlineStr">
        <is>
          <t>P3</t>
        </is>
      </c>
      <c r="G17" s="12" t="inlineStr">
        <is>
          <t>Not started</t>
        </is>
      </c>
      <c r="H17" s="18" t="n"/>
      <c r="I17" s="12" t="inlineStr"/>
    </row>
    <row r="18">
      <c r="A18" s="12" t="inlineStr">
        <is>
          <t>/blog/institutional-knowledge</t>
        </is>
      </c>
      <c r="B18" s="12" t="inlineStr">
        <is>
          <t>Blog</t>
        </is>
      </c>
      <c r="C18" s="12" t="inlineStr">
        <is>
          <t>institutional knowledge software teams</t>
        </is>
      </c>
      <c r="D18" s="16">
        <f>COUNTIFS(Keywords!$O:$O,A18,Keywords!$C:$C,"SEO")</f>
        <v/>
      </c>
      <c r="E18" s="16">
        <f>COUNTIFS(Keywords!$O:$O,A18,Keywords!$C:$C,"AEO")</f>
        <v/>
      </c>
      <c r="F18" s="11" t="inlineStr">
        <is>
          <t>P3</t>
        </is>
      </c>
      <c r="G18" s="12" t="inlineStr">
        <is>
          <t>Not started</t>
        </is>
      </c>
      <c r="H18" s="18" t="n"/>
      <c r="I18" s="12" t="inlineStr"/>
    </row>
    <row r="19">
      <c r="A19" s="12" t="inlineStr">
        <is>
          <t>/docs</t>
        </is>
      </c>
      <c r="B19" s="12" t="inlineStr">
        <is>
          <t>Docs</t>
        </is>
      </c>
      <c r="C19" s="12" t="inlineStr">
        <is>
          <t>mcp server developer analytics</t>
        </is>
      </c>
      <c r="D19" s="16">
        <f>COUNTIFS(Keywords!$O:$O,A19,Keywords!$C:$C,"SEO")</f>
        <v/>
      </c>
      <c r="E19" s="16">
        <f>COUNTIFS(Keywords!$O:$O,A19,Keywords!$C:$C,"AEO")</f>
        <v/>
      </c>
      <c r="F19" s="11" t="inlineStr">
        <is>
          <t>P2</t>
        </is>
      </c>
      <c r="G19" s="12" t="inlineStr">
        <is>
          <t>Not started</t>
        </is>
      </c>
      <c r="H19" s="18" t="n"/>
      <c r="I19" s="12" t="inlineStr"/>
    </row>
    <row r="20">
      <c r="A20" s="12" t="inlineStr">
        <is>
          <t>/blog/ai-weekly-team-report</t>
        </is>
      </c>
      <c r="B20" s="12" t="inlineStr">
        <is>
          <t>Blog</t>
        </is>
      </c>
      <c r="C20" s="12" t="inlineStr">
        <is>
          <t>ai assistant weekly team report</t>
        </is>
      </c>
      <c r="D20" s="16">
        <f>COUNTIFS(Keywords!$O:$O,A20,Keywords!$C:$C,"SEO")</f>
        <v/>
      </c>
      <c r="E20" s="16">
        <f>COUNTIFS(Keywords!$O:$O,A20,Keywords!$C:$C,"AEO")</f>
        <v/>
      </c>
      <c r="F20" s="11" t="inlineStr">
        <is>
          <t>P3</t>
        </is>
      </c>
      <c r="G20" s="12" t="inlineStr">
        <is>
          <t>Not started</t>
        </is>
      </c>
      <c r="H20" s="18" t="n"/>
      <c r="I20" s="12" t="inlineStr"/>
    </row>
    <row r="21">
      <c r="A21" s="12" t="inlineStr">
        <is>
          <t>/blog/agentic-coding</t>
        </is>
      </c>
      <c r="B21" s="12" t="inlineStr">
        <is>
          <t>Blog</t>
        </is>
      </c>
      <c r="C21" s="12" t="inlineStr">
        <is>
          <t>agentic coding</t>
        </is>
      </c>
      <c r="D21" s="16">
        <f>COUNTIFS(Keywords!$O:$O,A21,Keywords!$C:$C,"SEO")</f>
        <v/>
      </c>
      <c r="E21" s="16">
        <f>COUNTIFS(Keywords!$O:$O,A21,Keywords!$C:$C,"AEO")</f>
        <v/>
      </c>
      <c r="F21" s="11" t="inlineStr">
        <is>
          <t>P3</t>
        </is>
      </c>
      <c r="G21" s="12" t="inlineStr">
        <is>
          <t>Not started</t>
        </is>
      </c>
      <c r="H21" s="18" t="n"/>
      <c r="I21" s="12" t="inlineStr"/>
    </row>
    <row r="22">
      <c r="A22" s="12" t="inlineStr">
        <is>
          <t>/blog/vibe-coding-teams</t>
        </is>
      </c>
      <c r="B22" s="12" t="inlineStr">
        <is>
          <t>Blog</t>
        </is>
      </c>
      <c r="C22" s="12" t="inlineStr">
        <is>
          <t>vibe coding team</t>
        </is>
      </c>
      <c r="D22" s="16">
        <f>COUNTIFS(Keywords!$O:$O,A22,Keywords!$C:$C,"SEO")</f>
        <v/>
      </c>
      <c r="E22" s="16">
        <f>COUNTIFS(Keywords!$O:$O,A22,Keywords!$C:$C,"AEO")</f>
        <v/>
      </c>
      <c r="F22" s="11" t="inlineStr">
        <is>
          <t>P3</t>
        </is>
      </c>
      <c r="G22" s="12" t="inlineStr">
        <is>
          <t>Not started</t>
        </is>
      </c>
      <c r="H22" s="18" t="n"/>
      <c r="I22" s="12" t="inlineStr"/>
    </row>
    <row r="23">
      <c r="A23" s="12" t="inlineStr">
        <is>
          <t>/integrations/claude-code</t>
        </is>
      </c>
      <c r="B23" s="12" t="inlineStr">
        <is>
          <t>Integration</t>
        </is>
      </c>
      <c r="C23" s="12" t="inlineStr">
        <is>
          <t>claude code analytics</t>
        </is>
      </c>
      <c r="D23" s="16">
        <f>COUNTIFS(Keywords!$O:$O,A23,Keywords!$C:$C,"SEO")</f>
        <v/>
      </c>
      <c r="E23" s="16">
        <f>COUNTIFS(Keywords!$O:$O,A23,Keywords!$C:$C,"AEO")</f>
        <v/>
      </c>
      <c r="F23" s="11" t="inlineStr">
        <is>
          <t>P1</t>
        </is>
      </c>
      <c r="G23" s="12" t="inlineStr">
        <is>
          <t>Not started</t>
        </is>
      </c>
      <c r="H23" s="18" t="n"/>
      <c r="I23" s="12" t="inlineStr"/>
    </row>
    <row r="24">
      <c r="A24" s="12" t="inlineStr">
        <is>
          <t>/integrations/codex</t>
        </is>
      </c>
      <c r="B24" s="12" t="inlineStr">
        <is>
          <t>Integration</t>
        </is>
      </c>
      <c r="C24" s="12" t="inlineStr">
        <is>
          <t>codex usage tracking</t>
        </is>
      </c>
      <c r="D24" s="16">
        <f>COUNTIFS(Keywords!$O:$O,A24,Keywords!$C:$C,"SEO")</f>
        <v/>
      </c>
      <c r="E24" s="16">
        <f>COUNTIFS(Keywords!$O:$O,A24,Keywords!$C:$C,"AEO")</f>
        <v/>
      </c>
      <c r="F24" s="11" t="inlineStr">
        <is>
          <t>P1</t>
        </is>
      </c>
      <c r="G24" s="12" t="inlineStr">
        <is>
          <t>Not started</t>
        </is>
      </c>
      <c r="H24" s="18" t="n"/>
      <c r="I24" s="12" t="inlineStr"/>
    </row>
    <row r="25">
      <c r="A25" s="12" t="inlineStr">
        <is>
          <t>/integrations/gemini-cli</t>
        </is>
      </c>
      <c r="B25" s="12" t="inlineStr">
        <is>
          <t>Integration</t>
        </is>
      </c>
      <c r="C25" s="12" t="inlineStr">
        <is>
          <t>gemini cli usage tracking</t>
        </is>
      </c>
      <c r="D25" s="16">
        <f>COUNTIFS(Keywords!$O:$O,A25,Keywords!$C:$C,"SEO")</f>
        <v/>
      </c>
      <c r="E25" s="16">
        <f>COUNTIFS(Keywords!$O:$O,A25,Keywords!$C:$C,"AEO")</f>
        <v/>
      </c>
      <c r="F25" s="11" t="inlineStr">
        <is>
          <t>P1</t>
        </is>
      </c>
      <c r="G25" s="12" t="inlineStr">
        <is>
          <t>Not started</t>
        </is>
      </c>
      <c r="H25" s="18" t="n"/>
      <c r="I25" s="12" t="inlineStr"/>
    </row>
    <row r="26">
      <c r="A26" s="12" t="inlineStr">
        <is>
          <t>/integrations/cursor</t>
        </is>
      </c>
      <c r="B26" s="12" t="inlineStr">
        <is>
          <t>Integration</t>
        </is>
      </c>
      <c r="C26" s="12" t="inlineStr">
        <is>
          <t>cursor analytics</t>
        </is>
      </c>
      <c r="D26" s="16">
        <f>COUNTIFS(Keywords!$O:$O,A26,Keywords!$C:$C,"SEO")</f>
        <v/>
      </c>
      <c r="E26" s="16">
        <f>COUNTIFS(Keywords!$O:$O,A26,Keywords!$C:$C,"AEO")</f>
        <v/>
      </c>
      <c r="F26" s="11" t="inlineStr">
        <is>
          <t>P1</t>
        </is>
      </c>
      <c r="G26" s="12" t="inlineStr">
        <is>
          <t>Not started</t>
        </is>
      </c>
      <c r="H26" s="18" t="n"/>
      <c r="I26" s="12" t="inlineStr"/>
    </row>
    <row r="27">
      <c r="A27" s="12" t="inlineStr">
        <is>
          <t>/integrations/github-copilot</t>
        </is>
      </c>
      <c r="B27" s="12" t="inlineStr">
        <is>
          <t>Integration</t>
        </is>
      </c>
      <c r="C27" s="12" t="inlineStr">
        <is>
          <t>copilot metrics</t>
        </is>
      </c>
      <c r="D27" s="16">
        <f>COUNTIFS(Keywords!$O:$O,A27,Keywords!$C:$C,"SEO")</f>
        <v/>
      </c>
      <c r="E27" s="16">
        <f>COUNTIFS(Keywords!$O:$O,A27,Keywords!$C:$C,"AEO")</f>
        <v/>
      </c>
      <c r="F27" s="11" t="inlineStr">
        <is>
          <t>P1</t>
        </is>
      </c>
      <c r="G27" s="12" t="inlineStr">
        <is>
          <t>Not started</t>
        </is>
      </c>
      <c r="H27" s="18" t="n"/>
      <c r="I27" s="12" t="inlineStr"/>
    </row>
    <row r="28">
      <c r="A28" s="12" t="inlineStr">
        <is>
          <t>/integrations/cline</t>
        </is>
      </c>
      <c r="B28" s="12" t="inlineStr">
        <is>
          <t>Integration</t>
        </is>
      </c>
      <c r="C28" s="12" t="inlineStr">
        <is>
          <t>cline usage tracking</t>
        </is>
      </c>
      <c r="D28" s="16">
        <f>COUNTIFS(Keywords!$O:$O,A28,Keywords!$C:$C,"SEO")</f>
        <v/>
      </c>
      <c r="E28" s="16">
        <f>COUNTIFS(Keywords!$O:$O,A28,Keywords!$C:$C,"AEO")</f>
        <v/>
      </c>
      <c r="F28" s="11" t="inlineStr">
        <is>
          <t>P2</t>
        </is>
      </c>
      <c r="G28" s="12" t="inlineStr">
        <is>
          <t>Not started</t>
        </is>
      </c>
      <c r="H28" s="18" t="n"/>
      <c r="I28" s="12" t="inlineStr"/>
    </row>
    <row r="29">
      <c r="A29" s="12" t="inlineStr">
        <is>
          <t>/integrations/roo-code</t>
        </is>
      </c>
      <c r="B29" s="12" t="inlineStr">
        <is>
          <t>Integration</t>
        </is>
      </c>
      <c r="C29" s="12" t="inlineStr">
        <is>
          <t>roo code usage tracking</t>
        </is>
      </c>
      <c r="D29" s="16">
        <f>COUNTIFS(Keywords!$O:$O,A29,Keywords!$C:$C,"SEO")</f>
        <v/>
      </c>
      <c r="E29" s="16">
        <f>COUNTIFS(Keywords!$O:$O,A29,Keywords!$C:$C,"AEO")</f>
        <v/>
      </c>
      <c r="F29" s="11" t="inlineStr">
        <is>
          <t>P2</t>
        </is>
      </c>
      <c r="G29" s="12" t="inlineStr">
        <is>
          <t>Not started</t>
        </is>
      </c>
      <c r="H29" s="18" t="n"/>
      <c r="I29" s="12" t="inlineStr"/>
    </row>
    <row r="30">
      <c r="A30" s="12" t="inlineStr">
        <is>
          <t>/integrations/kilo-code</t>
        </is>
      </c>
      <c r="B30" s="12" t="inlineStr">
        <is>
          <t>Integration</t>
        </is>
      </c>
      <c r="C30" s="12" t="inlineStr">
        <is>
          <t>kilo code usage tracking</t>
        </is>
      </c>
      <c r="D30" s="16">
        <f>COUNTIFS(Keywords!$O:$O,A30,Keywords!$C:$C,"SEO")</f>
        <v/>
      </c>
      <c r="E30" s="16">
        <f>COUNTIFS(Keywords!$O:$O,A30,Keywords!$C:$C,"AEO")</f>
        <v/>
      </c>
      <c r="F30" s="11" t="inlineStr">
        <is>
          <t>P2</t>
        </is>
      </c>
      <c r="G30" s="12" t="inlineStr">
        <is>
          <t>Not started</t>
        </is>
      </c>
      <c r="H30" s="18" t="n"/>
      <c r="I30" s="12" t="inlineStr"/>
    </row>
    <row r="31">
      <c r="A31" s="12" t="inlineStr">
        <is>
          <t>/integrations/opencode</t>
        </is>
      </c>
      <c r="B31" s="12" t="inlineStr">
        <is>
          <t>Integration</t>
        </is>
      </c>
      <c r="C31" s="12" t="inlineStr">
        <is>
          <t>opencode usage tracking</t>
        </is>
      </c>
      <c r="D31" s="16">
        <f>COUNTIFS(Keywords!$O:$O,A31,Keywords!$C:$C,"SEO")</f>
        <v/>
      </c>
      <c r="E31" s="16">
        <f>COUNTIFS(Keywords!$O:$O,A31,Keywords!$C:$C,"AEO")</f>
        <v/>
      </c>
      <c r="F31" s="11" t="inlineStr">
        <is>
          <t>P2</t>
        </is>
      </c>
      <c r="G31" s="12" t="inlineStr">
        <is>
          <t>Not started</t>
        </is>
      </c>
      <c r="H31" s="18" t="n"/>
      <c r="I31" s="12" t="inlineStr"/>
    </row>
    <row r="32">
      <c r="A32" s="12" t="inlineStr">
        <is>
          <t>/integrations/aider</t>
        </is>
      </c>
      <c r="B32" s="12" t="inlineStr">
        <is>
          <t>Integration</t>
        </is>
      </c>
      <c r="C32" s="12" t="inlineStr">
        <is>
          <t>aider usage tracking</t>
        </is>
      </c>
      <c r="D32" s="16">
        <f>COUNTIFS(Keywords!$O:$O,A32,Keywords!$C:$C,"SEO")</f>
        <v/>
      </c>
      <c r="E32" s="16">
        <f>COUNTIFS(Keywords!$O:$O,A32,Keywords!$C:$C,"AEO")</f>
        <v/>
      </c>
      <c r="F32" s="11" t="inlineStr">
        <is>
          <t>P2</t>
        </is>
      </c>
      <c r="G32" s="12" t="inlineStr">
        <is>
          <t>Not started</t>
        </is>
      </c>
      <c r="H32" s="18" t="n"/>
      <c r="I32" s="12" t="inlineStr"/>
    </row>
    <row r="33">
      <c r="A33" s="12" t="inlineStr">
        <is>
          <t>/integrations</t>
        </is>
      </c>
      <c r="B33" s="12" t="inlineStr">
        <is>
          <t>Integration</t>
        </is>
      </c>
      <c r="C33" s="12" t="inlineStr">
        <is>
          <t>track multiple ai coding tools in one dashboard</t>
        </is>
      </c>
      <c r="D33" s="16">
        <f>COUNTIFS(Keywords!$O:$O,A33,Keywords!$C:$C,"SEO")</f>
        <v/>
      </c>
      <c r="E33" s="16">
        <f>COUNTIFS(Keywords!$O:$O,A33,Keywords!$C:$C,"AEO")</f>
        <v/>
      </c>
      <c r="F33" s="11" t="inlineStr">
        <is>
          <t>P1</t>
        </is>
      </c>
      <c r="G33" s="12" t="inlineStr">
        <is>
          <t>Not started</t>
        </is>
      </c>
      <c r="H33" s="18" t="n"/>
      <c r="I33" s="12" t="inlineStr"/>
    </row>
    <row r="34">
      <c r="A34" s="12" t="inlineStr">
        <is>
          <t>/blog/claude-code-vs-cursor</t>
        </is>
      </c>
      <c r="B34" s="12" t="inlineStr">
        <is>
          <t>Blog</t>
        </is>
      </c>
      <c r="C34" s="12" t="inlineStr">
        <is>
          <t>claude code vs cursor usage</t>
        </is>
      </c>
      <c r="D34" s="16">
        <f>COUNTIFS(Keywords!$O:$O,A34,Keywords!$C:$C,"SEO")</f>
        <v/>
      </c>
      <c r="E34" s="16">
        <f>COUNTIFS(Keywords!$O:$O,A34,Keywords!$C:$C,"AEO")</f>
        <v/>
      </c>
      <c r="F34" s="11" t="inlineStr">
        <is>
          <t>P3</t>
        </is>
      </c>
      <c r="G34" s="12" t="inlineStr">
        <is>
          <t>Not started</t>
        </is>
      </c>
      <c r="H34" s="18" t="n"/>
      <c r="I34" s="12" t="inlineStr"/>
    </row>
    <row r="35">
      <c r="A35" s="12" t="inlineStr">
        <is>
          <t>/faq</t>
        </is>
      </c>
      <c r="B35" s="12" t="inlineStr">
        <is>
          <t>FAQ</t>
        </is>
      </c>
      <c r="C35" s="12" t="inlineStr"/>
      <c r="D35" s="16">
        <f>COUNTIFS(Keywords!$O:$O,A35,Keywords!$C:$C,"SEO")</f>
        <v/>
      </c>
      <c r="E35" s="16">
        <f>COUNTIFS(Keywords!$O:$O,A35,Keywords!$C:$C,"AEO")</f>
        <v/>
      </c>
      <c r="F35" s="11" t="inlineStr">
        <is>
          <t>P1</t>
        </is>
      </c>
      <c r="G35" s="12" t="inlineStr">
        <is>
          <t>Not started</t>
        </is>
      </c>
      <c r="H35" s="18" t="n"/>
      <c r="I35" s="12" t="inlineStr"/>
    </row>
    <row r="36">
      <c r="A36" s="12" t="inlineStr">
        <is>
          <t>/pricing</t>
        </is>
      </c>
      <c r="B36" s="12" t="inlineStr">
        <is>
          <t>Solution</t>
        </is>
      </c>
      <c r="C36" s="12" t="inlineStr"/>
      <c r="D36" s="16">
        <f>COUNTIFS(Keywords!$O:$O,A36,Keywords!$C:$C,"SEO")</f>
        <v/>
      </c>
      <c r="E36" s="16">
        <f>COUNTIFS(Keywords!$O:$O,A36,Keywords!$C:$C,"AEO")</f>
        <v/>
      </c>
      <c r="F36" s="11" t="inlineStr">
        <is>
          <t>P1</t>
        </is>
      </c>
      <c r="G36" s="12" t="inlineStr">
        <is>
          <t>Not started</t>
        </is>
      </c>
      <c r="H36" s="18" t="n"/>
      <c r="I36" s="12" t="inlineStr">
        <is>
          <t>Supporting page; no target keyword needed</t>
        </is>
      </c>
    </row>
    <row r="37">
      <c r="A37" s="12" t="inlineStr">
        <is>
          <t>/about</t>
        </is>
      </c>
      <c r="B37" s="12" t="inlineStr">
        <is>
          <t>Solution</t>
        </is>
      </c>
      <c r="C37" s="12" t="inlineStr"/>
      <c r="D37" s="16">
        <f>COUNTIFS(Keywords!$O:$O,A37,Keywords!$C:$C,"SEO")</f>
        <v/>
      </c>
      <c r="E37" s="16">
        <f>COUNTIFS(Keywords!$O:$O,A37,Keywords!$C:$C,"AEO")</f>
        <v/>
      </c>
      <c r="F37" s="11" t="inlineStr">
        <is>
          <t>P2</t>
        </is>
      </c>
      <c r="G37" s="12" t="inlineStr">
        <is>
          <t>Not started</t>
        </is>
      </c>
      <c r="H37" s="18" t="n"/>
      <c r="I37" s="12" t="inlineStr">
        <is>
          <t>Supporting page; no target keyword needed</t>
        </is>
      </c>
    </row>
    <row r="38">
      <c r="A38" s="12" t="inlineStr">
        <is>
          <t>/compare/linearb</t>
        </is>
      </c>
      <c r="B38" s="12" t="inlineStr">
        <is>
          <t>Compare</t>
        </is>
      </c>
      <c r="C38" s="12" t="inlineStr">
        <is>
          <t>linearb alternatives</t>
        </is>
      </c>
      <c r="D38" s="16">
        <f>COUNTIFS(Keywords!$O:$O,A38,Keywords!$C:$C,"SEO")</f>
        <v/>
      </c>
      <c r="E38" s="16">
        <f>COUNTIFS(Keywords!$O:$O,A38,Keywords!$C:$C,"AEO")</f>
        <v/>
      </c>
      <c r="F38" s="11" t="inlineStr">
        <is>
          <t>P3</t>
        </is>
      </c>
      <c r="G38" s="12" t="inlineStr">
        <is>
          <t>Not started</t>
        </is>
      </c>
      <c r="H38" s="18" t="n"/>
      <c r="I38" s="12" t="inlineStr">
        <is>
          <t>Add competitor keywords (e.g. '&lt;name&gt; alternative') from Ahrefs/Semrush</t>
        </is>
      </c>
    </row>
    <row r="39">
      <c r="A39" s="12" t="inlineStr">
        <is>
          <t>/compare/jellyfish</t>
        </is>
      </c>
      <c r="B39" s="12" t="inlineStr">
        <is>
          <t>Compare</t>
        </is>
      </c>
      <c r="C39" s="12" t="inlineStr"/>
      <c r="D39" s="16">
        <f>COUNTIFS(Keywords!$O:$O,A39,Keywords!$C:$C,"SEO")</f>
        <v/>
      </c>
      <c r="E39" s="16">
        <f>COUNTIFS(Keywords!$O:$O,A39,Keywords!$C:$C,"AEO")</f>
        <v/>
      </c>
      <c r="F39" s="11" t="inlineStr">
        <is>
          <t>P3</t>
        </is>
      </c>
      <c r="G39" s="12" t="inlineStr">
        <is>
          <t>Not started</t>
        </is>
      </c>
      <c r="H39" s="18" t="n"/>
      <c r="I39" s="12" t="inlineStr">
        <is>
          <t>Add competitor keywords (e.g. '&lt;name&gt; alternative') from Ahrefs/Semrush</t>
        </is>
      </c>
    </row>
    <row r="40">
      <c r="A40" s="12" t="inlineStr">
        <is>
          <t>/compare/dx</t>
        </is>
      </c>
      <c r="B40" s="12" t="inlineStr">
        <is>
          <t>Compare</t>
        </is>
      </c>
      <c r="C40" s="12" t="inlineStr">
        <is>
          <t>getdx alternatives</t>
        </is>
      </c>
      <c r="D40" s="16">
        <f>COUNTIFS(Keywords!$O:$O,A40,Keywords!$C:$C,"SEO")</f>
        <v/>
      </c>
      <c r="E40" s="16">
        <f>COUNTIFS(Keywords!$O:$O,A40,Keywords!$C:$C,"AEO")</f>
        <v/>
      </c>
      <c r="F40" s="11" t="inlineStr">
        <is>
          <t>P3</t>
        </is>
      </c>
      <c r="G40" s="12" t="inlineStr">
        <is>
          <t>Not started</t>
        </is>
      </c>
      <c r="H40" s="18" t="n"/>
      <c r="I40" s="12" t="inlineStr">
        <is>
          <t>Add competitor keywords (e.g. '&lt;name&gt; alternative') from Ahrefs/Semrush</t>
        </is>
      </c>
    </row>
    <row r="41">
      <c r="A41" s="12" t="inlineStr">
        <is>
          <t>/compare/swarmia</t>
        </is>
      </c>
      <c r="B41" s="12" t="inlineStr">
        <is>
          <t>Compare</t>
        </is>
      </c>
      <c r="C41" s="12" t="inlineStr"/>
      <c r="D41" s="16">
        <f>COUNTIFS(Keywords!$O:$O,A41,Keywords!$C:$C,"SEO")</f>
        <v/>
      </c>
      <c r="E41" s="16">
        <f>COUNTIFS(Keywords!$O:$O,A41,Keywords!$C:$C,"AEO")</f>
        <v/>
      </c>
      <c r="F41" s="11" t="inlineStr">
        <is>
          <t>P3</t>
        </is>
      </c>
      <c r="G41" s="12" t="inlineStr">
        <is>
          <t>Not started</t>
        </is>
      </c>
      <c r="H41" s="18" t="n"/>
      <c r="I41" s="12" t="inlineStr">
        <is>
          <t>Add competitor keywords (e.g. '&lt;name&gt; alternative') from Ahrefs/Semrush</t>
        </is>
      </c>
    </row>
    <row r="42">
      <c r="A42" s="12" t="inlineStr">
        <is>
          <t>/compare/github-copilot-metrics</t>
        </is>
      </c>
      <c r="B42" s="12" t="inlineStr">
        <is>
          <t>Compare</t>
        </is>
      </c>
      <c r="C42" s="12" t="inlineStr">
        <is>
          <t>copilot metrics viewer</t>
        </is>
      </c>
      <c r="D42" s="16">
        <f>COUNTIFS(Keywords!$O:$O,A42,Keywords!$C:$C,"SEO")</f>
        <v/>
      </c>
      <c r="E42" s="16">
        <f>COUNTIFS(Keywords!$O:$O,A42,Keywords!$C:$C,"AEO")</f>
        <v/>
      </c>
      <c r="F42" s="11" t="inlineStr">
        <is>
          <t>P3</t>
        </is>
      </c>
      <c r="G42" s="12" t="inlineStr">
        <is>
          <t>Not started</t>
        </is>
      </c>
      <c r="H42" s="18" t="n"/>
      <c r="I42" s="12" t="inlineStr">
        <is>
          <t>Add competitor keywords (e.g. '&lt;name&gt; alternative') from Ahrefs/Semrush</t>
        </is>
      </c>
    </row>
    <row r="43">
      <c r="A43" s="12" t="inlineStr">
        <is>
          <t>/compare/anthropic-console</t>
        </is>
      </c>
      <c r="B43" s="12" t="inlineStr">
        <is>
          <t>Compare</t>
        </is>
      </c>
      <c r="C43" s="12" t="inlineStr"/>
      <c r="D43" s="16">
        <f>COUNTIFS(Keywords!$O:$O,A43,Keywords!$C:$C,"SEO")</f>
        <v/>
      </c>
      <c r="E43" s="16">
        <f>COUNTIFS(Keywords!$O:$O,A43,Keywords!$C:$C,"AEO")</f>
        <v/>
      </c>
      <c r="F43" s="11" t="inlineStr">
        <is>
          <t>P3</t>
        </is>
      </c>
      <c r="G43" s="12" t="inlineStr">
        <is>
          <t>Not started</t>
        </is>
      </c>
      <c r="H43" s="18" t="n"/>
      <c r="I43" s="12" t="inlineStr">
        <is>
          <t>Add competitor keywords (e.g. '&lt;name&gt; alternative') from Ahrefs/Semrush</t>
        </is>
      </c>
    </row>
    <row r="44">
      <c r="A44" s="12" t="inlineStr">
        <is>
          <t>/blog</t>
        </is>
      </c>
      <c r="B44" s="12" t="inlineStr">
        <is>
          <t>Blog</t>
        </is>
      </c>
      <c r="C44" s="12" t="inlineStr"/>
      <c r="D44" s="16">
        <f>COUNTIFS(Keywords!$O:$O,A44,Keywords!$C:$C,"SEO")</f>
        <v/>
      </c>
      <c r="E44" s="16">
        <f>COUNTIFS(Keywords!$O:$O,A44,Keywords!$C:$C,"AEO")</f>
        <v/>
      </c>
      <c r="F44" s="11" t="inlineStr">
        <is>
          <t>P3</t>
        </is>
      </c>
      <c r="G44" s="12" t="inlineStr">
        <is>
          <t>Not started</t>
        </is>
      </c>
      <c r="H44" s="18" t="n"/>
      <c r="I44" s="12" t="inlineStr">
        <is>
          <t>Supporting page; no target keyword needed</t>
        </is>
      </c>
    </row>
    <row r="45">
      <c r="A45" s="12" t="inlineStr">
        <is>
          <t>/legal/privacy-policy</t>
        </is>
      </c>
      <c r="B45" s="12" t="inlineStr">
        <is>
          <t>Legal</t>
        </is>
      </c>
      <c r="C45" s="12" t="inlineStr"/>
      <c r="D45" s="16">
        <f>COUNTIFS(Keywords!$O:$O,A45,Keywords!$C:$C,"SEO")</f>
        <v/>
      </c>
      <c r="E45" s="16">
        <f>COUNTIFS(Keywords!$O:$O,A45,Keywords!$C:$C,"AEO")</f>
        <v/>
      </c>
      <c r="F45" s="11" t="inlineStr">
        <is>
          <t>P1</t>
        </is>
      </c>
      <c r="G45" s="12" t="inlineStr">
        <is>
          <t>Not started</t>
        </is>
      </c>
      <c r="H45" s="18" t="n"/>
      <c r="I45" s="12" t="inlineStr">
        <is>
          <t>Supporting page; no target keyword needed</t>
        </is>
      </c>
    </row>
    <row r="46">
      <c r="A46" s="12" t="inlineStr">
        <is>
          <t>/legal/terms</t>
        </is>
      </c>
      <c r="B46" s="12" t="inlineStr">
        <is>
          <t>Legal</t>
        </is>
      </c>
      <c r="C46" s="12" t="inlineStr"/>
      <c r="D46" s="16">
        <f>COUNTIFS(Keywords!$O:$O,A46,Keywords!$C:$C,"SEO")</f>
        <v/>
      </c>
      <c r="E46" s="16">
        <f>COUNTIFS(Keywords!$O:$O,A46,Keywords!$C:$C,"AEO")</f>
        <v/>
      </c>
      <c r="F46" s="11" t="inlineStr">
        <is>
          <t>P1</t>
        </is>
      </c>
      <c r="G46" s="12" t="inlineStr">
        <is>
          <t>Not started</t>
        </is>
      </c>
      <c r="H46" s="18" t="n"/>
      <c r="I46" s="12" t="inlineStr">
        <is>
          <t>Supporting page; no target keyword needed</t>
        </is>
      </c>
    </row>
    <row r="47">
      <c r="A47" s="12" t="inlineStr">
        <is>
          <t>/blog/ai-coding-data-report</t>
        </is>
      </c>
      <c r="B47" s="12" t="inlineStr">
        <is>
          <t>Blog</t>
        </is>
      </c>
      <c r="C47" s="12" t="inlineStr">
        <is>
          <t>ai coding assistant statistics</t>
        </is>
      </c>
      <c r="D47" s="16">
        <f>COUNTIFS(Keywords!$O:$O,A47,Keywords!$C:$C,"SEO")</f>
        <v/>
      </c>
      <c r="E47" s="16">
        <f>COUNTIFS(Keywords!$O:$O,A47,Keywords!$C:$C,"AEO")</f>
        <v/>
      </c>
      <c r="F47" s="11" t="inlineStr">
        <is>
          <t>P3</t>
        </is>
      </c>
      <c r="G47" s="12" t="inlineStr">
        <is>
          <t>Not started</t>
        </is>
      </c>
      <c r="H47" s="18" t="n"/>
      <c r="I47" s="12" t="inlineStr">
        <is>
          <t>Original data report (Month 3)</t>
        </is>
      </c>
    </row>
    <row r="48">
      <c r="A48" s="12" t="inlineStr">
        <is>
          <t>/blog/reduce-ai-coding-costs</t>
        </is>
      </c>
      <c r="B48" s="12" t="inlineStr">
        <is>
          <t>Blog</t>
        </is>
      </c>
      <c r="C48" s="12" t="inlineStr">
        <is>
          <t>how to reduce claude code cost</t>
        </is>
      </c>
      <c r="D48" s="16">
        <f>COUNTIFS(Keywords!$O:$O,A48,Keywords!$C:$C,"SEO")</f>
        <v/>
      </c>
      <c r="E48" s="16">
        <f>COUNTIFS(Keywords!$O:$O,A48,Keywords!$C:$C,"AEO")</f>
        <v/>
      </c>
      <c r="F48" s="11" t="inlineStr">
        <is>
          <t>P3</t>
        </is>
      </c>
      <c r="G48" s="12" t="inlineStr">
        <is>
          <t>Not started</t>
        </is>
      </c>
      <c r="H48" s="18" t="n"/>
      <c r="I48" s="12" t="inlineStr">
        <is>
          <t>New guide suggested by Google questions; link to /ai-cost-tracking</t>
        </is>
      </c>
    </row>
    <row r="49">
      <c r="A49" s="12" t="inlineStr">
        <is>
          <t>/blog/tracking-ai-usage-ethically</t>
        </is>
      </c>
      <c r="B49" s="12" t="inlineStr">
        <is>
          <t>Blog</t>
        </is>
      </c>
      <c r="C49" s="12" t="inlineStr"/>
      <c r="D49" s="16">
        <f>COUNTIFS(Keywords!$O:$O,A49,Keywords!$C:$C,"SEO")</f>
        <v/>
      </c>
      <c r="E49" s="16">
        <f>COUNTIFS(Keywords!$O:$O,A49,Keywords!$C:$C,"AEO")</f>
        <v/>
      </c>
      <c r="F49" s="11" t="inlineStr">
        <is>
          <t>P3</t>
        </is>
      </c>
      <c r="G49" s="12" t="inlineStr">
        <is>
          <t>Not started</t>
        </is>
      </c>
      <c r="H49" s="18" t="n"/>
      <c r="I49" s="12" t="inlineStr">
        <is>
          <t>Trust-building guide; supports /privacy</t>
        </is>
      </c>
    </row>
    <row r="50">
      <c r="A50" s="12" t="inlineStr">
        <is>
          <t>/ai-coding-assistant-pricing</t>
        </is>
      </c>
      <c r="B50" s="12" t="inlineStr">
        <is>
          <t>Interactive tool</t>
        </is>
      </c>
      <c r="C50" s="12" t="inlineStr">
        <is>
          <t>ai coding assistant pricing</t>
        </is>
      </c>
      <c r="D50" s="16">
        <f>COUNTIFS(Keywords!$O:$O,A50,Keywords!$C:$C,"SEO")</f>
        <v/>
      </c>
      <c r="E50" s="16">
        <f>COUNTIFS(Keywords!$O:$O,A50,Keywords!$C:$C,"AEO")</f>
        <v/>
      </c>
      <c r="F50" s="11" t="inlineStr">
        <is>
          <t>P3</t>
        </is>
      </c>
      <c r="G50" s="12" t="inlineStr">
        <is>
          <t>Not started</t>
        </is>
      </c>
      <c r="H50" s="18" t="n"/>
      <c r="I50" s="12" t="inlineStr">
        <is>
          <t>Interactive pricing comparison, not a blog post; permanent URL outside /blog so it stays current. Google shows year-dated comparisons (DX, Stratas, FavTray) and vendor pages (JetBrains). Comparison table + team cost calculator + plan finder + FAQ. Show a 'Prices checked' date; one owner checks prices monthly; keep prices in one data source shared with /ai-cost-tracking and the ROI page</t>
        </is>
      </c>
    </row>
  </sheetData>
  <autoFilter ref="A1:I50"/>
  <dataValidations count="2">
    <dataValidation sqref="F2:F200" showDropDown="0" showInputMessage="0" showErrorMessage="0" allowBlank="1" type="list">
      <formula1>"P1,P2,P3"</formula1>
    </dataValidation>
    <dataValidation sqref="G2:G200" showDropDown="0" showInputMessage="0" showErrorMessage="0" allowBlank="1" type="list">
      <formula1>"Not started,Writing,Published,Updating"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58" customWidth="1" min="1" max="1"/>
    <col width="30" customWidth="1" min="2" max="2"/>
    <col width="10" customWidth="1" min="3" max="3"/>
    <col width="11" customWidth="1" min="4" max="4"/>
    <col width="10" customWidth="1" min="5" max="5"/>
    <col width="10" customWidth="1" min="6" max="6"/>
    <col width="12" customWidth="1" min="7" max="7"/>
    <col width="12" customWidth="1" min="8" max="8"/>
    <col width="30" customWidth="1" min="9" max="9"/>
    <col width="30" customWidth="1" min="10" max="10"/>
    <col width="12" customWidth="1" min="11" max="11"/>
  </cols>
  <sheetData>
    <row r="1" ht="34" customHeight="1">
      <c r="A1" s="8" t="inlineStr">
        <is>
          <t>Question</t>
        </is>
      </c>
      <c r="B1" s="8" t="inlineStr">
        <is>
          <t>Target Page</t>
        </is>
      </c>
      <c r="C1" s="9" t="inlineStr">
        <is>
          <t>ChatGPT</t>
        </is>
      </c>
      <c r="D1" s="9" t="inlineStr">
        <is>
          <t>Perplexity</t>
        </is>
      </c>
      <c r="E1" s="9" t="inlineStr">
        <is>
          <t>Claude</t>
        </is>
      </c>
      <c r="F1" s="9" t="inlineStr">
        <is>
          <t>Gemini</t>
        </is>
      </c>
      <c r="G1" s="9" t="inlineStr">
        <is>
          <t>Google AI Overview</t>
        </is>
      </c>
      <c r="H1" s="10" t="inlineStr">
        <is>
          <t>Times Mentioned (of 5)</t>
        </is>
      </c>
      <c r="I1" s="9" t="inlineStr">
        <is>
          <t>Competitors Cited</t>
        </is>
      </c>
      <c r="J1" s="9" t="inlineStr">
        <is>
          <t>Sources Cited</t>
        </is>
      </c>
      <c r="K1" s="9" t="inlineStr">
        <is>
          <t>Test Date</t>
        </is>
      </c>
    </row>
    <row r="2">
      <c r="A2" s="12" t="inlineStr">
        <is>
          <t>How can I see how much each developer spends on AI coding tools?</t>
        </is>
      </c>
      <c r="B2" s="12" t="inlineStr">
        <is>
          <t>/ai-cost-tracking</t>
        </is>
      </c>
      <c r="C2" s="19" t="n"/>
      <c r="D2" s="19" t="n"/>
      <c r="E2" s="19" t="n"/>
      <c r="F2" s="19" t="n"/>
      <c r="G2" s="19" t="n"/>
      <c r="H2" s="16">
        <f>COUNTIF(C2:G2,"Yes")</f>
        <v/>
      </c>
      <c r="I2" s="14" t="n"/>
      <c r="J2" s="14" t="n"/>
      <c r="K2" s="20" t="n"/>
    </row>
    <row r="3">
      <c r="A3" s="12" t="inlineStr">
        <is>
          <t>How do I track Claude Code usage across my team?</t>
        </is>
      </c>
      <c r="B3" s="12" t="inlineStr">
        <is>
          <t>/integrations/claude-code</t>
        </is>
      </c>
      <c r="C3" s="19" t="n"/>
      <c r="D3" s="19" t="n"/>
      <c r="E3" s="19" t="n"/>
      <c r="F3" s="19" t="n"/>
      <c r="G3" s="19" t="n"/>
      <c r="H3" s="16">
        <f>COUNTIF(C3:G3,"Yes")</f>
        <v/>
      </c>
      <c r="I3" s="14" t="n"/>
      <c r="J3" s="14" t="n"/>
      <c r="K3" s="20" t="n"/>
    </row>
    <row r="4">
      <c r="A4" s="12" t="inlineStr">
        <is>
          <t>How do I know which developers are close to their Claude limit?</t>
        </is>
      </c>
      <c r="B4" s="12" t="inlineStr">
        <is>
          <t>/plan-headroom</t>
        </is>
      </c>
      <c r="C4" s="19" t="n"/>
      <c r="D4" s="19" t="n"/>
      <c r="E4" s="19" t="n"/>
      <c r="F4" s="19" t="n"/>
      <c r="G4" s="19" t="n"/>
      <c r="H4" s="16">
        <f>COUNTIF(C4:G4,"Yes")</f>
        <v/>
      </c>
      <c r="I4" s="14" t="n"/>
      <c r="J4" s="14" t="n"/>
      <c r="K4" s="20" t="n"/>
    </row>
    <row r="5">
      <c r="A5" s="12" t="inlineStr">
        <is>
          <t>What is the best tool to track AI coding assistant usage for a team?</t>
        </is>
      </c>
      <c r="B5" s="12" t="inlineStr">
        <is>
          <t>/</t>
        </is>
      </c>
      <c r="C5" s="19" t="n"/>
      <c r="D5" s="19" t="n"/>
      <c r="E5" s="19" t="n"/>
      <c r="F5" s="19" t="n"/>
      <c r="G5" s="19" t="n"/>
      <c r="H5" s="16">
        <f>COUNTIF(C5:G5,"Yes")</f>
        <v/>
      </c>
      <c r="I5" s="14" t="n"/>
      <c r="J5" s="14" t="n"/>
      <c r="K5" s="20" t="n"/>
    </row>
    <row r="6">
      <c r="A6" s="12" t="inlineStr">
        <is>
          <t>Is there a self-hosted tool to monitor AI coding tool usage?</t>
        </is>
      </c>
      <c r="B6" s="12" t="inlineStr">
        <is>
          <t>/self-hosted</t>
        </is>
      </c>
      <c r="C6" s="19" t="n"/>
      <c r="D6" s="19" t="n"/>
      <c r="E6" s="19" t="n"/>
      <c r="F6" s="19" t="n"/>
      <c r="G6" s="19" t="n"/>
      <c r="H6" s="16">
        <f>COUNTIF(C6:G6,"Yes")</f>
        <v/>
      </c>
      <c r="I6" s="14" t="n"/>
      <c r="J6" s="14" t="n"/>
      <c r="K6" s="20" t="n"/>
    </row>
    <row r="7">
      <c r="A7" s="12" t="inlineStr">
        <is>
          <t>How can I see all AI coding tools my team uses in one place?</t>
        </is>
      </c>
      <c r="B7" s="12" t="inlineStr">
        <is>
          <t>/integrations</t>
        </is>
      </c>
      <c r="C7" s="19" t="n"/>
      <c r="D7" s="19" t="n"/>
      <c r="E7" s="19" t="n"/>
      <c r="F7" s="19" t="n"/>
      <c r="G7" s="19" t="n"/>
      <c r="H7" s="16">
        <f>COUNTIF(C7:G7,"Yes")</f>
        <v/>
      </c>
      <c r="I7" s="14" t="n"/>
      <c r="J7" s="14" t="n"/>
      <c r="K7" s="20" t="n"/>
    </row>
    <row r="8">
      <c r="A8" s="12" t="inlineStr">
        <is>
          <t>How do I measure the ROI of AI coding tools?</t>
        </is>
      </c>
      <c r="B8" s="12" t="inlineStr">
        <is>
          <t>/blog/ai-coding-roi</t>
        </is>
      </c>
      <c r="C8" s="19" t="n"/>
      <c r="D8" s="19" t="n"/>
      <c r="E8" s="19" t="n"/>
      <c r="F8" s="19" t="n"/>
      <c r="G8" s="19" t="n"/>
      <c r="H8" s="16">
        <f>COUNTIF(C8:G8,"Yes")</f>
        <v/>
      </c>
      <c r="I8" s="14" t="n"/>
      <c r="J8" s="14" t="n"/>
      <c r="K8" s="20" t="n"/>
    </row>
    <row r="9">
      <c r="A9" s="12" t="inlineStr">
        <is>
          <t>How can I find shared or unused AI tool accounts?</t>
        </is>
      </c>
      <c r="B9" s="12" t="inlineStr">
        <is>
          <t>/shadow-ai</t>
        </is>
      </c>
      <c r="C9" s="19" t="n"/>
      <c r="D9" s="19" t="n"/>
      <c r="E9" s="19" t="n"/>
      <c r="F9" s="19" t="n"/>
      <c r="G9" s="19" t="n"/>
      <c r="H9" s="16">
        <f>COUNTIF(C9:G9,"Yes")</f>
        <v/>
      </c>
      <c r="I9" s="14" t="n"/>
      <c r="J9" s="14" t="n"/>
      <c r="K9" s="20" t="n"/>
    </row>
    <row r="10">
      <c r="A10" s="12" t="inlineStr">
        <is>
          <t>How do I find out which AI tools developers use without approval?</t>
        </is>
      </c>
      <c r="B10" s="12" t="inlineStr">
        <is>
          <t>/shadow-ai</t>
        </is>
      </c>
      <c r="C10" s="19" t="n"/>
      <c r="D10" s="19" t="n"/>
      <c r="E10" s="19" t="n"/>
      <c r="F10" s="19" t="n"/>
      <c r="G10" s="19" t="n"/>
      <c r="H10" s="16">
        <f>COUNTIF(C10:G10,"Yes")</f>
        <v/>
      </c>
      <c r="I10" s="14" t="n"/>
      <c r="J10" s="14" t="n"/>
      <c r="K10" s="20" t="n"/>
    </row>
    <row r="11">
      <c r="A11" s="12" t="inlineStr">
        <is>
          <t>How can managers spot struggling developers early without surveys?</t>
        </is>
      </c>
      <c r="B11" s="12" t="inlineStr">
        <is>
          <t>/engineering-intelligence</t>
        </is>
      </c>
      <c r="C11" s="19" t="n"/>
      <c r="D11" s="19" t="n"/>
      <c r="E11" s="19" t="n"/>
      <c r="F11" s="19" t="n"/>
      <c r="G11" s="19" t="n"/>
      <c r="H11" s="16">
        <f>COUNTIF(C11:G11,"Yes")</f>
        <v/>
      </c>
      <c r="I11" s="14" t="n"/>
      <c r="J11" s="14" t="n"/>
      <c r="K11" s="20" t="n"/>
    </row>
    <row r="12">
      <c r="A12" s="12" t="inlineStr">
        <is>
          <t>How do I know what my engineering team is working on right now?</t>
        </is>
      </c>
      <c r="B12" s="12" t="inlineStr">
        <is>
          <t>/engineering-intelligence</t>
        </is>
      </c>
      <c r="C12" s="19" t="n"/>
      <c r="D12" s="19" t="n"/>
      <c r="E12" s="19" t="n"/>
      <c r="F12" s="19" t="n"/>
      <c r="G12" s="19" t="n"/>
      <c r="H12" s="16">
        <f>COUNTIF(C12:G12,"Yes")</f>
        <v/>
      </c>
      <c r="I12" s="14" t="n"/>
      <c r="J12" s="14" t="n"/>
      <c r="K12" s="20" t="n"/>
    </row>
    <row r="13">
      <c r="A13" s="12" t="inlineStr">
        <is>
          <t>How do I stop my team solving the same bug twice?</t>
        </is>
      </c>
      <c r="B13" s="12" t="inlineStr">
        <is>
          <t>/blog/institutional-knowledge</t>
        </is>
      </c>
      <c r="C13" s="19" t="n"/>
      <c r="D13" s="19" t="n"/>
      <c r="E13" s="19" t="n"/>
      <c r="F13" s="19" t="n"/>
      <c r="G13" s="19" t="n"/>
      <c r="H13" s="16">
        <f>COUNTIF(C13:G13,"Yes")</f>
        <v/>
      </c>
      <c r="I13" s="14" t="n"/>
      <c r="J13" s="14" t="n"/>
      <c r="K13" s="20" t="n"/>
    </row>
    <row r="14">
      <c r="A14" s="12" t="inlineStr">
        <is>
          <t>Why are we shipping more commits but not delivering faster?</t>
        </is>
      </c>
      <c r="B14" s="12" t="inlineStr">
        <is>
          <t>/blog/measure-developer-productivity-ai</t>
        </is>
      </c>
      <c r="C14" s="19" t="n"/>
      <c r="D14" s="19" t="n"/>
      <c r="E14" s="19" t="n"/>
      <c r="F14" s="19" t="n"/>
      <c r="G14" s="19" t="n"/>
      <c r="H14" s="16">
        <f>COUNTIF(C14:G14,"Yes")</f>
        <v/>
      </c>
      <c r="I14" s="14" t="n"/>
      <c r="J14" s="14" t="n"/>
      <c r="K14" s="20" t="n"/>
    </row>
    <row r="15">
      <c r="A15" s="12" t="inlineStr">
        <is>
          <t>How do I find passwords or API keys leaked in AI chats?</t>
        </is>
      </c>
      <c r="B15" s="12" t="inlineStr">
        <is>
          <t>/blog/secrets-in-ai-prompts</t>
        </is>
      </c>
      <c r="C15" s="19" t="n"/>
      <c r="D15" s="19" t="n"/>
      <c r="E15" s="19" t="n"/>
      <c r="F15" s="19" t="n"/>
      <c r="G15" s="19" t="n"/>
      <c r="H15" s="16">
        <f>COUNTIF(C15:G15,"Yes")</f>
        <v/>
      </c>
      <c r="I15" s="14" t="n"/>
      <c r="J15" s="14" t="n"/>
      <c r="K15" s="20" t="n"/>
    </row>
    <row r="16">
      <c r="A16" s="12" t="inlineStr">
        <is>
          <t>Can an AI assistant write my weekly team update from engineering data?</t>
        </is>
      </c>
      <c r="B16" s="12" t="inlineStr">
        <is>
          <t>/blog/ai-weekly-team-report</t>
        </is>
      </c>
      <c r="C16" s="19" t="n"/>
      <c r="D16" s="19" t="n"/>
      <c r="E16" s="19" t="n"/>
      <c r="F16" s="19" t="n"/>
      <c r="G16" s="19" t="n"/>
      <c r="H16" s="16">
        <f>COUNTIF(C16:G16,"Yes")</f>
        <v/>
      </c>
      <c r="I16" s="14" t="n"/>
      <c r="J16" s="14" t="n"/>
      <c r="K16" s="20" t="n"/>
    </row>
    <row r="17">
      <c r="A17" s="12" t="inlineStr">
        <is>
          <t>How do I track AI coding usage without monitoring keystrokes?</t>
        </is>
      </c>
      <c r="B17" s="12" t="inlineStr">
        <is>
          <t>/privacy</t>
        </is>
      </c>
      <c r="C17" s="19" t="n"/>
      <c r="D17" s="19" t="n"/>
      <c r="E17" s="19" t="n"/>
      <c r="F17" s="19" t="n"/>
      <c r="G17" s="19" t="n"/>
      <c r="H17" s="16">
        <f>COUNTIF(C17:G17,"Yes")</f>
        <v/>
      </c>
      <c r="I17" s="14" t="n"/>
      <c r="J17" s="14" t="n"/>
      <c r="K17" s="20" t="n"/>
    </row>
  </sheetData>
  <conditionalFormatting sqref="C2:G200">
    <cfRule type="cellIs" priority="1" operator="equal" dxfId="3">
      <formula>"Yes"</formula>
    </cfRule>
    <cfRule type="cellIs" priority="2" operator="equal" dxfId="4">
      <formula>"No"</formula>
    </cfRule>
  </conditionalFormatting>
  <dataValidations count="1">
    <dataValidation sqref="C2:G200"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4" customWidth="1" min="1" max="1"/>
    <col width="24" customWidth="1" min="2" max="2"/>
    <col width="40" customWidth="1" min="3" max="3"/>
    <col width="40" customWidth="1" min="4" max="4"/>
    <col width="40" customWidth="1" min="5" max="5"/>
    <col width="32" customWidth="1" min="6" max="6"/>
  </cols>
  <sheetData>
    <row r="1" ht="34" customHeight="1">
      <c r="A1" s="8" t="inlineStr">
        <is>
          <t>Competitor</t>
        </is>
      </c>
      <c r="B1" s="8" t="inlineStr">
        <is>
          <t>Website</t>
        </is>
      </c>
      <c r="C1" s="9" t="inlineStr">
        <is>
          <t>Main Keywords They Rank For</t>
        </is>
      </c>
      <c r="D1" s="9" t="inlineStr">
        <is>
          <t>What They Do Well</t>
        </is>
      </c>
      <c r="E1" s="9" t="inlineStr">
        <is>
          <t>What They Miss</t>
        </is>
      </c>
      <c r="F1" s="8" t="inlineStr">
        <is>
          <t>Our Compare Page</t>
        </is>
      </c>
    </row>
    <row r="2">
      <c r="A2" s="12" t="inlineStr">
        <is>
          <t>LinearB</t>
        </is>
      </c>
      <c r="B2" s="12" t="inlineStr">
        <is>
          <t>linearb.io</t>
        </is>
      </c>
      <c r="C2" s="14" t="n"/>
      <c r="D2" s="14" t="n"/>
      <c r="E2" s="14" t="n"/>
      <c r="F2" s="12" t="inlineStr">
        <is>
          <t>/compare/linearb</t>
        </is>
      </c>
    </row>
    <row r="3">
      <c r="A3" s="12" t="inlineStr">
        <is>
          <t>Jellyfish</t>
        </is>
      </c>
      <c r="B3" s="12" t="inlineStr">
        <is>
          <t>jellyfish.co</t>
        </is>
      </c>
      <c r="C3" s="14" t="inlineStr">
        <is>
          <t>measure roi of ai coding tools (#4); ai coding analytics (#2, 'best AI coding analytics platforms' list)</t>
        </is>
      </c>
      <c r="D3" s="14" t="n"/>
      <c r="E3" s="14" t="n"/>
      <c r="F3" s="12" t="inlineStr">
        <is>
          <t>/compare/jellyfish</t>
        </is>
      </c>
    </row>
    <row r="4">
      <c r="A4" s="12" t="inlineStr">
        <is>
          <t>DX</t>
        </is>
      </c>
      <c r="B4" s="12" t="inlineStr">
        <is>
          <t>getdx.com</t>
        </is>
      </c>
      <c r="C4" s="14" t="inlineStr">
        <is>
          <t>measure roi of ai coding tools (#1, ROI calculator); ai coding assistant pricing (#1); developer experience metrics (#1, 'developer productivity metrics' blog); measure developer productivity with ai (#1, 'AI measurement hub')</t>
        </is>
      </c>
      <c r="D4" s="14" t="n"/>
      <c r="E4" s="14" t="n"/>
      <c r="F4" s="12" t="inlineStr">
        <is>
          <t>/compare/dx</t>
        </is>
      </c>
    </row>
    <row r="5">
      <c r="A5" s="12" t="inlineStr">
        <is>
          <t>Swarmia</t>
        </is>
      </c>
      <c r="B5" s="12" t="inlineStr">
        <is>
          <t>swarmia.com</t>
        </is>
      </c>
      <c r="C5" s="14" t="n"/>
      <c r="D5" s="14" t="n"/>
      <c r="E5" s="14" t="n"/>
      <c r="F5" s="12" t="inlineStr">
        <is>
          <t>/compare/swarmia</t>
        </is>
      </c>
    </row>
    <row r="6">
      <c r="A6" s="12" t="inlineStr">
        <is>
          <t>GitHub Copilot Metrics</t>
        </is>
      </c>
      <c r="B6" s="12" t="inlineStr">
        <is>
          <t>github.com</t>
        </is>
      </c>
      <c r="C6" s="14" t="n"/>
      <c r="D6" s="14" t="n"/>
      <c r="E6" s="14" t="n"/>
      <c r="F6" s="12" t="inlineStr">
        <is>
          <t>/compare/github-copilot-metrics</t>
        </is>
      </c>
    </row>
    <row r="7">
      <c r="A7" s="12" t="inlineStr">
        <is>
          <t>Anthropic Console</t>
        </is>
      </c>
      <c r="B7" s="12" t="inlineStr">
        <is>
          <t>console.anthropic.com</t>
        </is>
      </c>
      <c r="C7" s="14" t="n"/>
      <c r="D7" s="14" t="n"/>
      <c r="E7" s="14" t="n"/>
      <c r="F7" s="12" t="inlineStr">
        <is>
          <t>/compare/anthropic-console</t>
        </is>
      </c>
    </row>
    <row r="8">
      <c r="A8" s="12" t="inlineStr">
        <is>
          <t>WakaTime</t>
        </is>
      </c>
      <c r="B8" s="12" t="inlineStr">
        <is>
          <t>wakatime.com</t>
        </is>
      </c>
      <c r="C8" s="14" t="inlineStr">
        <is>
          <t>ai coding analytics (#1, product homepage)</t>
        </is>
      </c>
      <c r="D8" s="14" t="n"/>
      <c r="E8" s="14" t="n"/>
      <c r="F8" s="12" t="n"/>
    </row>
    <row r="9">
      <c r="A9" s="12" t="inlineStr">
        <is>
          <t>Cortex</t>
        </is>
      </c>
      <c r="B9" s="12" t="inlineStr">
        <is>
          <t>cortex.io</t>
        </is>
      </c>
      <c r="C9" s="14" t="inlineStr">
        <is>
          <t>engineering intelligence platform (#1, definition + tools explainer); developer experience metrics (#2, blog)</t>
        </is>
      </c>
      <c r="D9" s="14" t="n"/>
      <c r="E9" s="14" t="n"/>
      <c r="F9" s="12" t="n"/>
    </row>
    <row r="10">
      <c r="A10" s="12" t="inlineStr">
        <is>
          <t>Uplevel</t>
        </is>
      </c>
      <c r="B10" s="12" t="inlineStr">
        <is>
          <t>uplevelteam.com</t>
        </is>
      </c>
      <c r="C10" s="14" t="inlineStr">
        <is>
          <t>engineering intelligence platform (#2, 'top platforms 2026' list); measure developer productivity with ai (#4, measurement guide)</t>
        </is>
      </c>
      <c r="D10" s="14" t="n"/>
      <c r="E10" s="14" t="n"/>
      <c r="F10" s="12" t="n"/>
    </row>
    <row r="11">
      <c r="A11" s="12" t="inlineStr">
        <is>
          <t>Port</t>
        </is>
      </c>
      <c r="B11" s="12" t="inlineStr">
        <is>
          <t>port.io</t>
        </is>
      </c>
      <c r="C11" s="14" t="inlineStr">
        <is>
          <t>developer experience metrics (#3, best practices + examples blog)</t>
        </is>
      </c>
      <c r="D11" s="14" t="n"/>
      <c r="E11" s="14" t="n"/>
      <c r="F11" s="12" t="n"/>
    </row>
    <row r="12">
      <c r="A12" s="12" t="inlineStr">
        <is>
          <t>Axify</t>
        </is>
      </c>
      <c r="B12" s="12" t="inlineStr">
        <is>
          <t>axify.io</t>
        </is>
      </c>
      <c r="C12" s="14" t="inlineStr">
        <is>
          <t>measure developer productivity with ai (#3, 'use AI for developer productivity' blog)</t>
        </is>
      </c>
      <c r="D12" s="14" t="n"/>
      <c r="E12" s="14" t="n"/>
      <c r="F12"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s>
  <sheetData>
    <row r="1" ht="34" customHeight="1">
      <c r="A1" s="8" t="inlineStr">
        <is>
          <t>Keyword</t>
        </is>
      </c>
      <c r="B1" s="8" t="inlineStr">
        <is>
          <t>Why Avoid</t>
        </is>
      </c>
    </row>
    <row r="2">
      <c r="A2" s="12" t="inlineStr">
        <is>
          <t>employee monitoring software</t>
        </is>
      </c>
      <c r="B2" s="12" t="inlineStr">
        <is>
          <t>Wrong buyers; conflicts with 'historian, not critic'</t>
        </is>
      </c>
    </row>
    <row r="3">
      <c r="A3" s="12" t="inlineStr">
        <is>
          <t>keystroke logging / screenshot monitoring</t>
        </is>
      </c>
      <c r="B3" s="12" t="inlineStr">
        <is>
          <t>Kite Pulse does not do this</t>
        </is>
      </c>
    </row>
    <row r="4">
      <c r="A4" s="12" t="inlineStr">
        <is>
          <t>code quality scanner</t>
        </is>
      </c>
      <c r="B4" s="12" t="inlineStr">
        <is>
          <t>Not what Kite Pulse is</t>
        </is>
      </c>
    </row>
    <row r="5">
      <c r="A5" s="12" t="inlineStr">
        <is>
          <t>llm observability</t>
        </is>
      </c>
      <c r="B5" s="12" t="inlineStr">
        <is>
          <t>That is for AI features inside a company's own product</t>
        </is>
      </c>
    </row>
    <row r="6">
      <c r="A6" s="12" t="inlineStr">
        <is>
          <t>developer performance ranking</t>
        </is>
      </c>
      <c r="B6" s="12" t="inlineStr">
        <is>
          <t>Conflicts with the privacy message</t>
        </is>
      </c>
    </row>
    <row r="7">
      <c r="A7" s="12" t="inlineStr">
        <is>
          <t>Trends / Cost &amp; ROI / Ask Kite Pulse / Knowledge Base features</t>
        </is>
      </c>
      <c r="B7" s="12" t="inlineStr">
        <is>
          <t>Switched off in the current release; do not target until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2026-10-15T06:19:12Z</dcterms:created>
  <dcterms:modified xmlns:dcterms="http://purl.org/dc/terms/" xmlns:xsi="http://www.w3.org/2001/XMLSchema-instance" xsi:type="dcterms:W3CDTF">2026-10-20T09:27:22Z</dcterms:modified>
</cp:coreProperties>
</file>